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arafdgonline-my.sharepoint.com/personal/karan_prasad_sharafdg_com/Documents/Desktop/Feasibility/COG Circle Mall/"/>
    </mc:Choice>
  </mc:AlternateContent>
  <xr:revisionPtr revIDLastSave="8" documentId="8_{1C4A9E0E-5F09-40FF-B938-2061464B6266}" xr6:coauthVersionLast="47" xr6:coauthVersionMax="47" xr10:uidLastSave="{865D221E-E7A4-497B-B520-FB293B412465}"/>
  <bookViews>
    <workbookView xWindow="-28920" yWindow="-120" windowWidth="29040" windowHeight="15720" xr2:uid="{A2D285BD-99DB-4DF2-94A4-A63456DE743A}"/>
  </bookViews>
  <sheets>
    <sheet name="Sheet1 (2)" sheetId="14" r:id="rId1"/>
    <sheet name="YR'26" sheetId="13" state="hidden" r:id="rId2"/>
    <sheet name="P &amp; L" sheetId="1" r:id="rId3"/>
    <sheet name="notes" sheetId="16" r:id="rId4"/>
    <sheet name="P &amp; L 5 Yrs" sheetId="15" state="hidden" r:id="rId5"/>
    <sheet name="Scenario" sheetId="3" state="hidden" r:id="rId6"/>
    <sheet name="Circle Mall Rent" sheetId="2" state="hidden" r:id="rId7"/>
  </sheets>
  <definedNames>
    <definedName name="__1__123Graph_BCHART_4" hidden="1">#REF!</definedName>
    <definedName name="__123Graph_A" hidden="1">#REF!</definedName>
    <definedName name="__123Graph_ACHART1" hidden="1">#REF!</definedName>
    <definedName name="__123Graph_ACHART2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C" hidden="1">#REF!</definedName>
    <definedName name="__123Graph_CCURRENT" hidden="1">#REF!</definedName>
    <definedName name="__123Graph_D" hidden="1">#REF!</definedName>
    <definedName name="__123Graph_DCURRENT" hidden="1">#REF!</definedName>
    <definedName name="__123Graph_E" hidden="1">#REF!</definedName>
    <definedName name="__123Graph_ECURRENT" hidden="1">#REF!</definedName>
    <definedName name="__123Graph_F" hidden="1">#REF!</definedName>
    <definedName name="__123Graph_FCURRENT" hidden="1">#REF!</definedName>
    <definedName name="__123Graph_X" hidden="1">#REF!</definedName>
    <definedName name="__2__123Graph_LBL_ACHART_5" hidden="1">#REF!</definedName>
    <definedName name="__3__123Graph_LBL_BCHART_4" hidden="1">#REF!</definedName>
    <definedName name="__APW_RESTORE_DATA104__" hidden="1">#REF!,#REF!,#REF!,#REF!,#REF!,#REF!,#REF!,#REF!,#REF!,#REF!</definedName>
    <definedName name="__APW_RESTORE_DATA105__" hidden="1">#REF!,#REF!,#REF!,#REF!,#REF!,#REF!,#REF!,#REF!,#REF!,#REF!</definedName>
    <definedName name="__APW_RESTORE_DATA106__" hidden="1">#REF!,#REF!,#REF!,#REF!,#REF!,#REF!,#REF!,#REF!,#REF!,#REF!</definedName>
    <definedName name="__APW_RESTORE_DATA107__" hidden="1">#REF!,#REF!,#REF!,#REF!,#REF!,#REF!,#REF!,#REF!,#REF!,#REF!</definedName>
    <definedName name="__bookmark_1">#REF!</definedName>
    <definedName name="__FDS_HYPERLINK_TOGGLE_STATE__" hidden="1">"ON"</definedName>
    <definedName name="_1__123Graph_BCHART_4" hidden="1">#REF!</definedName>
    <definedName name="_2__123Graph_LBL_ACHART_5" hidden="1">#REF!</definedName>
    <definedName name="_3__123Graph_LBL_BCHART_4" hidden="1">#REF!</definedName>
    <definedName name="_bdm.05247A451FF3448CAAE30D069D99445B.edm" hidden="1">#REF!</definedName>
    <definedName name="_bdm.0692A2167B094E0AAD671C24B4EBC09C.edm" hidden="1">#REF!</definedName>
    <definedName name="_bdm.0888352939AB4AA0BB50EF3CDCEE2FB3.edm" hidden="1">#REF!</definedName>
    <definedName name="_bdm.1C2C139C8B244125BD00399687E32F5B.edm" hidden="1">#REF!</definedName>
    <definedName name="_bdm.31CFCB5BFB664E5D9E2135C27B0AB380.edm" hidden="1">#REF!</definedName>
    <definedName name="_bdm.3569AB305F6A401C8DFD4F4CDD6BD534.edm" hidden="1">#REF!</definedName>
    <definedName name="_bdm.35D1CF7F0DF011D79523000347933D20.edm" hidden="1">#REF!</definedName>
    <definedName name="_bdm.35D1CF930DF011D79523000347933D20.edm" hidden="1">#REF!</definedName>
    <definedName name="_bdm.3E9EEE284D9F444DB461BC61A3F38748.edm" hidden="1">#REF!</definedName>
    <definedName name="_bdm.3EAFFC344CA54A58BB1CA52F21EF1720.edm" hidden="1">#REF!</definedName>
    <definedName name="_bdm.41BEBC277DD34371A7F5020E3F3B2A78.edm" hidden="1">#REF!</definedName>
    <definedName name="_bdm.460678027ECF4B768D49C86A2E583735.edm" hidden="1">#REF!</definedName>
    <definedName name="_bdm.4F8DA5C6DD1F11D6B66B0003478FD859.edm" hidden="1">#REF!</definedName>
    <definedName name="_bdm.4FFDE305504F4B1F8ECF84FEDC1A2D69.edm" hidden="1">#REF!</definedName>
    <definedName name="_bdm.5679979EBAB048F4935CA60321368EB4.edm" hidden="1">#REF!</definedName>
    <definedName name="_bdm.5BE5135FC3F7468E8FB21CFA889F22DF.edm" hidden="1">#REF!</definedName>
    <definedName name="_bdm.612F7A808AB911D6A4210008021EFA83.edm" hidden="1">#REF!</definedName>
    <definedName name="_bdm.65009D41AC464D67A2DE633B0AB94B94.edm" hidden="1">#REF!</definedName>
    <definedName name="_bdm.65CF035982894DB5AED042DF6DAF0737.edm" hidden="1">#REF!</definedName>
    <definedName name="_bdm.65E32F5BBDEB40758A3E075FDDCFB523.edm" hidden="1">#REF!</definedName>
    <definedName name="_bdm.85F2EA7281C2447D9A2537B2DB491242.edm" hidden="1">#REF!</definedName>
    <definedName name="_bdm.98C8D16F17694E9CA267C43255BC7F46.edm" hidden="1">#REF!</definedName>
    <definedName name="_bdm.9BD85BE35A434F93ACBFA7318CEED8B0.edm" hidden="1">#REF!</definedName>
    <definedName name="_bdm.9FF0FF5DE647474E90E481A7EE47F0C7.edm" hidden="1">#REF!</definedName>
    <definedName name="_bdm.A1D4E8AC198E46FF88A744C78B643C0D.edm" hidden="1">#REF!</definedName>
    <definedName name="_bdm.AE44D4798ACB11D6A4210008021EFA83.edm" hidden="1">#REF!</definedName>
    <definedName name="_bdm.AFB047400EBF44C3A4D15A6F8C600B3E.edm" hidden="1">#REF!</definedName>
    <definedName name="_bdm.AFCC7BAE2F2A11D7953D000347933D20.edm" hidden="1">#REF!</definedName>
    <definedName name="_bdm.B1AD4EB4D1A111D6B64B000347936418.edm" hidden="1">#REF!</definedName>
    <definedName name="_bdm.B262CBBD9FFD11D6B65900034792F924.edm" hidden="1">#REF!</definedName>
    <definedName name="_bdm.B3132235A08747249FDD5FC42FA2AF2D.edm" hidden="1">#REF!</definedName>
    <definedName name="_bdm.B4344AF7774F4BFAADD22D3A26F88C11.edm" hidden="1">#REF!</definedName>
    <definedName name="_bdm.B8669612945742C98143D8B103956D0F.edm" hidden="1">#REF!</definedName>
    <definedName name="_bdm.C719F7D5283E4D4E833CBEC07D3B5A45.edm" hidden="1">#REF!</definedName>
    <definedName name="_bdm.CE0DF358F87A4A0F8641C686915DCE4B.edm" hidden="1">#REF!</definedName>
    <definedName name="_bdm.D4C6E1B29E6911D6B65800034792F924.edm" hidden="1">#REF!</definedName>
    <definedName name="_bdm.DA1FA94C23C346618B80FF434DC92783.edm" hidden="1">#REF!</definedName>
    <definedName name="_bdm.DA3B9870A15F45409A335F45E47C5565.edm" hidden="1">#REF!</definedName>
    <definedName name="_bdm.DC2C44CBAA8E422E923D514051DD9554.edm" hidden="1">#REF!</definedName>
    <definedName name="_bdm.DE6F21F426D045A4B80CE5BA3D668FE9.edm" hidden="1">#REF!</definedName>
    <definedName name="_bdm.DF5300C54F0C4266B383478430759052.edm" hidden="1">#REF!</definedName>
    <definedName name="_bdm.E2CA71E6D6E94B5982663CD63576B835.edm" hidden="1">#REF!</definedName>
    <definedName name="_bdm.EF8F0AC9DA064F29BCD99CDC396D9B30.edm" hidden="1">#REF!</definedName>
    <definedName name="_CAC22">#REF!</definedName>
    <definedName name="_DAT18">#REF!</definedName>
    <definedName name="_Fill" hidden="1">#REF!</definedName>
    <definedName name="_fy25" hidden="1">{#N/A,#N/A,FALSE,"FY97";#N/A,#N/A,FALSE,"FY98";#N/A,#N/A,FALSE,"FY99";#N/A,#N/A,FALSE,"FY00";#N/A,#N/A,FALSE,"FY01"}</definedName>
    <definedName name="_fy97" hidden="1">{#N/A,#N/A,FALSE,"FY97";#N/A,#N/A,FALSE,"FY98";#N/A,#N/A,FALSE,"FY99";#N/A,#N/A,FALSE,"FY00";#N/A,#N/A,FALSE,"FY01"}</definedName>
    <definedName name="_INC1">#REF!</definedName>
    <definedName name="_INC2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00comps1" hidden="1">#REF!</definedName>
    <definedName name="_P00comps2" hidden="1">#REF!</definedName>
    <definedName name="_pnl94">#REF!</definedName>
    <definedName name="_qer" hidden="1">#REF!</definedName>
    <definedName name="_Regression_Int" hidden="1">1</definedName>
    <definedName name="_Regression_X" hidden="1">#REF!</definedName>
    <definedName name="_SAL08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a">#N/A</definedName>
    <definedName name="a1..318">#REF!</definedName>
    <definedName name="aa" hidden="1">{#N/A,#N/A,FALSE,"dec98qtr";#N/A,#N/A,FALSE,"suppdecsep98";#N/A,#N/A,FALSE,"w-dec98"}</definedName>
    <definedName name="abc">#REF!</definedName>
    <definedName name="ABCD" hidden="1">#REF!</definedName>
    <definedName name="AC" hidden="1">{#N/A,#N/A,TRUE,"Historicals";#N/A,#N/A,TRUE,"Charts";#N/A,#N/A,TRUE,"Forecasts"}</definedName>
    <definedName name="access">#REF!</definedName>
    <definedName name="Access_Button" hidden="1">"Zusammenstellung_SGF_KGF_970515_Tabelle1_Liste"</definedName>
    <definedName name="AccessDatabase" hidden="1">"C:\DATA\Kevin\Kevin's Model.mdb"</definedName>
    <definedName name="AccountCodes">#REF!</definedName>
    <definedName name="AcqStkIncr">#REF!</definedName>
    <definedName name="ACT" hidden="1">{#N/A,#N/A,TRUE,"Historicals";#N/A,#N/A,TRUE,"Charts";#N/A,#N/A,TRUE,"Forecasts"}</definedName>
    <definedName name="Activation">#REF!</definedName>
    <definedName name="Actual" hidden="1">{#N/A,#N/A,TRUE,"Historicals";#N/A,#N/A,TRUE,"Charts";#N/A,#N/A,TRUE,"Forecasts"}</definedName>
    <definedName name="Admin_CleaningHO">#REF!</definedName>
    <definedName name="Admin_CleaningStores">#REF!</definedName>
    <definedName name="AdminCosts">#REF!</definedName>
    <definedName name="Adv.Mktg">#REF!</definedName>
    <definedName name="AIR_PAYM">#REF!</definedName>
    <definedName name="AIT">#REF!</definedName>
    <definedName name="ALL">#REF!</definedName>
    <definedName name="AMC_HRMS">#REF!</definedName>
    <definedName name="AMC_ORION">#REF!</definedName>
    <definedName name="amer">#REF!</definedName>
    <definedName name="anscount" hidden="1">1</definedName>
    <definedName name="Area">#REF!</definedName>
    <definedName name="AS2DocOpenMode" hidden="1">"AS2DocumentEdit"</definedName>
    <definedName name="asdf" hidden="1">{#N/A,#N/A,FALSE,"dec98qtr";#N/A,#N/A,FALSE,"suppdecsep98";#N/A,#N/A,FALSE,"w-dec98"}</definedName>
    <definedName name="asgasgd" localSheetId="4">word</definedName>
    <definedName name="asgasgd">word</definedName>
    <definedName name="asgd" localSheetId="4">word</definedName>
    <definedName name="asgd">word</definedName>
    <definedName name="assume">#REF!</definedName>
    <definedName name="ATIF3" localSheetId="4">word</definedName>
    <definedName name="ATIF3">word</definedName>
    <definedName name="AuditFeeSE">#REF!</definedName>
    <definedName name="Average_number_of_subs">#REF!</definedName>
    <definedName name="ayear">#REF!</definedName>
    <definedName name="b">#REF!</definedName>
    <definedName name="Bahrain_Conversion_Rate">#REF!</definedName>
    <definedName name="Balance_Sheet_CY_Date">#REF!</definedName>
    <definedName name="Balance_Sheet_PPY">#REF!</definedName>
    <definedName name="Balance_Sheet_PY_Date">#REF!</definedName>
    <definedName name="BankChargesBG">#REF!</definedName>
    <definedName name="BankChargesInterest">#REF!</definedName>
    <definedName name="BankChargesOther">#REF!</definedName>
    <definedName name="BankChargesTG">#REF!</definedName>
    <definedName name="beta">#REF!</definedName>
    <definedName name="Billing_2021">#REF!</definedName>
    <definedName name="Billing_Percent">#REF!</definedName>
    <definedName name="bjhhgluy" hidden="1">#REF!</definedName>
    <definedName name="BLPH1" hidden="1">#REF!</definedName>
    <definedName name="BLPH10" hidden="1">#REF!</definedName>
    <definedName name="BLPH100" hidden="1">#REF!</definedName>
    <definedName name="BLPH10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onus">#REF!</definedName>
    <definedName name="BS_1">#REF!</definedName>
    <definedName name="BS_2">#REF!</definedName>
    <definedName name="BS_Date_With_Prefix_001">#REF!</definedName>
    <definedName name="BSHEETALL">#REF!</definedName>
    <definedName name="bsk">#REF!</definedName>
    <definedName name="bsm">#REF!</definedName>
    <definedName name="BSRJ">#REF!</definedName>
    <definedName name="BSS">#REF!</definedName>
    <definedName name="BSU">#REF!</definedName>
    <definedName name="BusinessEntertainment">#REF!</definedName>
    <definedName name="CAC10S">#REF!</definedName>
    <definedName name="CAC10T">#REF!</definedName>
    <definedName name="CAC11S">#REF!</definedName>
    <definedName name="CAC11T">#REF!</definedName>
    <definedName name="CAC12S">#REF!</definedName>
    <definedName name="CAC12T">#REF!</definedName>
    <definedName name="CAC13S">#REF!</definedName>
    <definedName name="CAC13T">#REF!</definedName>
    <definedName name="CAC14S">#REF!</definedName>
    <definedName name="CAC14T">#REF!</definedName>
    <definedName name="CAC15s">#REF!</definedName>
    <definedName name="CAC15T">#REF!</definedName>
    <definedName name="CAC16S">#REF!</definedName>
    <definedName name="CAC16T">#REF!</definedName>
    <definedName name="CAC17S">#REF!</definedName>
    <definedName name="CAC17T">#REF!</definedName>
    <definedName name="CAC18s">#REF!</definedName>
    <definedName name="CAC18T">#REF!</definedName>
    <definedName name="CAC19s">#REF!</definedName>
    <definedName name="CAC19T">#REF!</definedName>
    <definedName name="CAC1S">#REF!</definedName>
    <definedName name="CAC1T">#REF!</definedName>
    <definedName name="CAC20S">#REF!</definedName>
    <definedName name="CAC20T">#REF!</definedName>
    <definedName name="CAC21S">#REF!</definedName>
    <definedName name="CAC21T">#REF!</definedName>
    <definedName name="CAC22s">#REF!</definedName>
    <definedName name="CAC22T">#REF!</definedName>
    <definedName name="CAC23S">#REF!</definedName>
    <definedName name="CAC23T">#REF!</definedName>
    <definedName name="CAC24S">#REF!</definedName>
    <definedName name="CAC24T">#REF!</definedName>
    <definedName name="CAC25S">#REF!</definedName>
    <definedName name="CAC25T">#REF!</definedName>
    <definedName name="CAC26S">#REF!</definedName>
    <definedName name="CAC26T">#REF!</definedName>
    <definedName name="CAC27S">#REF!</definedName>
    <definedName name="CAC27T">#REF!</definedName>
    <definedName name="CAC28S">#REF!</definedName>
    <definedName name="CAC28T">#REF!</definedName>
    <definedName name="CAC29S">#REF!</definedName>
    <definedName name="CAC29T">#REF!</definedName>
    <definedName name="CAC2S">#REF!</definedName>
    <definedName name="CAC2T">#REF!</definedName>
    <definedName name="CAC30S">#REF!</definedName>
    <definedName name="CAC30T">#REF!</definedName>
    <definedName name="CAC31S">#REF!</definedName>
    <definedName name="CAC31T">#REF!</definedName>
    <definedName name="CAC32S">#REF!</definedName>
    <definedName name="CAC32T">#REF!</definedName>
    <definedName name="CAC33S">#REF!</definedName>
    <definedName name="CAC33T">#REF!</definedName>
    <definedName name="CAC34S">#REF!</definedName>
    <definedName name="CAC34T">#REF!</definedName>
    <definedName name="CAC35S">#REF!</definedName>
    <definedName name="CAC35T">#REF!</definedName>
    <definedName name="CAC36S">#REF!</definedName>
    <definedName name="CAC36T">#REF!</definedName>
    <definedName name="CAC37S">#REF!</definedName>
    <definedName name="CAC37T">#REF!</definedName>
    <definedName name="CAC38S">#REF!</definedName>
    <definedName name="CAC38T">#REF!</definedName>
    <definedName name="CAC39S">#REF!</definedName>
    <definedName name="CAC39T">#REF!</definedName>
    <definedName name="CAC3S">#REF!</definedName>
    <definedName name="CAC3T">#REF!</definedName>
    <definedName name="CAC40S">#REF!</definedName>
    <definedName name="CAC40T">#REF!</definedName>
    <definedName name="CAC41S">#REF!</definedName>
    <definedName name="CAC41T">#REF!</definedName>
    <definedName name="CAC42S">#REF!</definedName>
    <definedName name="CAC42T">#REF!</definedName>
    <definedName name="CAC43S">#REF!</definedName>
    <definedName name="CAC43T">#REF!</definedName>
    <definedName name="CAC44S">#REF!</definedName>
    <definedName name="CAC44T">#REF!</definedName>
    <definedName name="CAC45S">#REF!</definedName>
    <definedName name="CAC45T">#REF!</definedName>
    <definedName name="CAC46S">#REF!</definedName>
    <definedName name="CAC46T">#REF!</definedName>
    <definedName name="CAC47S">#REF!</definedName>
    <definedName name="CAC47T">#REF!</definedName>
    <definedName name="CAC48S">#REF!</definedName>
    <definedName name="CAC48T">#REF!</definedName>
    <definedName name="CAC49S">#REF!</definedName>
    <definedName name="CAC49T">#REF!</definedName>
    <definedName name="CAC4S">#REF!</definedName>
    <definedName name="cac4t">#REF!</definedName>
    <definedName name="CAC50S">#REF!</definedName>
    <definedName name="CAC50T">#REF!</definedName>
    <definedName name="CAC51S">#REF!</definedName>
    <definedName name="CAC51T">#REF!</definedName>
    <definedName name="CAC52S">#REF!</definedName>
    <definedName name="CAC52T">#REF!</definedName>
    <definedName name="CAC53S">#REF!</definedName>
    <definedName name="CAC53T">#REF!</definedName>
    <definedName name="CAC54S">#REF!</definedName>
    <definedName name="CAC54T">#REF!</definedName>
    <definedName name="CAC55S">#REF!</definedName>
    <definedName name="CAC55T">#REF!</definedName>
    <definedName name="CAC56S">#REF!</definedName>
    <definedName name="CAC56T">#REF!</definedName>
    <definedName name="CAC57S">#REF!</definedName>
    <definedName name="CAC57T">#REF!</definedName>
    <definedName name="CAC58S">#REF!</definedName>
    <definedName name="CAC58T">#REF!,#REF!</definedName>
    <definedName name="CAC59S">#REF!</definedName>
    <definedName name="CAC59T">#REF!</definedName>
    <definedName name="CAC5S">#REF!</definedName>
    <definedName name="CAC5T">#REF!</definedName>
    <definedName name="CAC60S">#REF!</definedName>
    <definedName name="CAC60T">#REF!,#REF!</definedName>
    <definedName name="CAC61S">#REF!</definedName>
    <definedName name="CAC61T">#REF!,#REF!,#REF!,#REF!,#REF!,#REF!</definedName>
    <definedName name="CAC6S">#REF!</definedName>
    <definedName name="CAC6T">#REF!</definedName>
    <definedName name="CAC70S">#REF!</definedName>
    <definedName name="CAC70T">#REF!</definedName>
    <definedName name="CAC71S">#REF!</definedName>
    <definedName name="CAC71T">#REF!</definedName>
    <definedName name="CAC72S">#REF!</definedName>
    <definedName name="CAC72T">#REF!</definedName>
    <definedName name="CAC73S">#REF!</definedName>
    <definedName name="CAC73T">#REF!,#REF!</definedName>
    <definedName name="CAC74S">#REF!</definedName>
    <definedName name="CAC74T">#REF!</definedName>
    <definedName name="CAC75S">#REF!</definedName>
    <definedName name="CAC75T">#REF!</definedName>
    <definedName name="CAC76S">#REF!</definedName>
    <definedName name="CAC76T">#REF!</definedName>
    <definedName name="CAC77S">#REF!</definedName>
    <definedName name="CAC77T">#REF!</definedName>
    <definedName name="CAC7S">#REF!</definedName>
    <definedName name="CAC7T">#REF!</definedName>
    <definedName name="CAC8S">#REF!</definedName>
    <definedName name="CAC8T">#REF!</definedName>
    <definedName name="CAC9S">#REF!</definedName>
    <definedName name="CAC9T">#REF!</definedName>
    <definedName name="captable">#REF!</definedName>
    <definedName name="CASHFLOWALL">#REF!</definedName>
    <definedName name="CBD" localSheetId="4">word</definedName>
    <definedName name="CBD">word</definedName>
    <definedName name="ceramics_ass">#REF!</definedName>
    <definedName name="Ceramics_Factory">#REF!</definedName>
    <definedName name="Ceramics_Factory__cost_per_unit">#REF!</definedName>
    <definedName name="Ceramics_proj">#REF!</definedName>
    <definedName name="CF_1">#REF!</definedName>
    <definedName name="CF_2">#REF!</definedName>
    <definedName name="cfs">#REF!</definedName>
    <definedName name="ChangeRange" hidden="1">#REF!</definedName>
    <definedName name="chart_balance">OFFSET(#REF!,2,0,#REF!,1)</definedName>
    <definedName name="chart_balance_noextra">FV(rate,chart_nper,payment,-loan_amount)</definedName>
    <definedName name="chart_date">OFFSET(#REF!,2,0,#REF!,1)</definedName>
    <definedName name="chart_nper">ROW(OFFSET(#REF!,0,0,nper,1))</definedName>
    <definedName name="Churn">#REF!</definedName>
    <definedName name="churn1">#REF!</definedName>
    <definedName name="CommunicationExpense">#REF!</definedName>
    <definedName name="COMP">#REF!</definedName>
    <definedName name="comp1_churn_sensitivity_duration">#REF!</definedName>
    <definedName name="COMPANY">#REF!</definedName>
    <definedName name="CompanyName">#REF!</definedName>
    <definedName name="con">#REF!</definedName>
    <definedName name="ContentsHelp" hidden="1">#REF!</definedName>
    <definedName name="Control_Link_1">#REF!</definedName>
    <definedName name="Control_Link_1Save">#REF!</definedName>
    <definedName name="correct">#REF!</definedName>
    <definedName name="coun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OUNTRY_OPERATIONS">#REF!</definedName>
    <definedName name="coverage">#REF!</definedName>
    <definedName name="CreateTable" hidden="1">#REF!</definedName>
    <definedName name="CSN">#REF!</definedName>
    <definedName name="CSNMININV">#REF!</definedName>
    <definedName name="CSNTOTAL">#REF!</definedName>
    <definedName name="Curr_month">#REF!</definedName>
    <definedName name="CURRENCY">#REF!</definedName>
    <definedName name="Current_date">#REF!</definedName>
    <definedName name="Current_Month">#REF!</definedName>
    <definedName name="Current_Period_Cutoff">#REF!</definedName>
    <definedName name="Cwvu.GREY_ALL." hidden="1">#REF!</definedName>
    <definedName name="CY_CF_Period_ID">#REF!</definedName>
    <definedName name="CY1EBIT">#REF!</definedName>
    <definedName name="CY1GrossProfit">#REF!</definedName>
    <definedName name="CY1Rev">#REF!</definedName>
    <definedName name="CY2EBIT">#REF!</definedName>
    <definedName name="CY2GrossProfit">#REF!</definedName>
    <definedName name="CY2Rev">#REF!</definedName>
    <definedName name="CY3EBIT">#REF!</definedName>
    <definedName name="CY3GrossProfit">#REF!</definedName>
    <definedName name="CY3Rev">#REF!</definedName>
    <definedName name="CYN">#REF!</definedName>
    <definedName name="d">#REF!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4">#REF!</definedName>
    <definedName name="DATA40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i" hidden="1">{"DET6GG1TRIM",#N/A,FALSE,"Stampa";"DET6GG2TRIM",#N/A,FALSE,"Stampa";"DET6GG3TRIM",#N/A,FALSE,"Stampa";"DET6GG4TRIM",#N/A,FALSE,"Stampa";"DETLUN1TRIM",#N/A,FALSE,"Stampa";"DETLUN2TRIM",#N/A,FALSE,"Stampa";"DETLUN3TRIM",#N/A,FALSE,"Stampa";"DETLUN4TRIM",#N/A,FALSE,"Stampa";"DET3DS1TRIM",#N/A,FALSE,"Stampa";"DET3DS2TRIM",#N/A,FALSE,"Stampa";"DET3DS3TRIM",#N/A,FALSE,"Stampa";"DET3DS4TRIM",#N/A,FALSE,"Stampa";"DETCLG1TRIM",#N/A,FALSE,"Stampa";"DETCLG2TRIM",#N/A,FALSE,"Stampa";"DETCLG3TRIM",#N/A,FALSE,"Stampa";"DETCLG4TRIM",#N/A,FALSE,"Stampa";"DETSYS1TRIM",#N/A,FALSE,"Stampa";"DETSYS2TRIM",#N/A,FALSE,"Stampa";"DETSYS3TRIM",#N/A,FALSE,"Stampa";"DETSYS4TRIM",#N/A,FALSE,"Stampa";"DETTOT1TRIM",#N/A,FALSE,"Stampa";"DETTOT2TRIM",#N/A,FALSE,"Stampa";"DETTOT3TRIM",#N/A,FALSE,"Stampa";"DETTOT4TRIM",#N/A,FALSE,"Stampa"}</definedName>
    <definedName name="Days_month">#REF!</definedName>
    <definedName name="Days_year">#REF!</definedName>
    <definedName name="dds">#REF!</definedName>
    <definedName name="DeleteRange" hidden="1">#REF!</definedName>
    <definedName name="DeleteTable" hidden="1">#REF!</definedName>
    <definedName name="Depreciation">#REF!</definedName>
    <definedName name="dez">#REF!,#REF!,#REF!,#REF!</definedName>
    <definedName name="dfg" localSheetId="4">word</definedName>
    <definedName name="dfg">word</definedName>
    <definedName name="dfxfjyt" localSheetId="4">word</definedName>
    <definedName name="dfxfjyt">word</definedName>
    <definedName name="dhei">#N/A</definedName>
    <definedName name="DIR_ACT">#REF!</definedName>
    <definedName name="discount2data">#REF!</definedName>
    <definedName name="discount34">#REF!</definedName>
    <definedName name="discount64data">#REF!</definedName>
    <definedName name="discount9.6">#REF!</definedName>
    <definedName name="discounted_cash_flow_1">#REF!</definedName>
    <definedName name="discounted_cash_flow_2">#REF!</definedName>
    <definedName name="discounted_cash_flow_3">#REF!</definedName>
    <definedName name="distance">#REF!</definedName>
    <definedName name="DL35a332fb_7d25_4b1e_91f1_5967d7e01175" hidden="1">#REF!</definedName>
    <definedName name="DL7d2f0dc6_8083_4bfa_88d4_8fc30f4015ba" hidden="1">#REF!</definedName>
    <definedName name="DLf0e18838_860d_4f40_8e7f_67a8a684d57c" hidden="1">#REF!</definedName>
    <definedName name="DME_Dirty" hidden="1">"False"</definedName>
    <definedName name="DME_DocumentFlags" hidden="1">"1"</definedName>
    <definedName name="DME_DocumentID" hidden="1">"::ODMA\DME-MSE\London-44356"</definedName>
    <definedName name="DME_DocumentOpened" hidden="1">"True"</definedName>
    <definedName name="DME_DocumentTitle" hidden="1">"London-44356 - impress model"</definedName>
    <definedName name="DME_LocalFile" hidden="1">"False"</definedName>
    <definedName name="DME_NextWindowNumber" hidden="1">"2"</definedName>
    <definedName name="DocType" localSheetId="4">word</definedName>
    <definedName name="DocType">word</definedName>
    <definedName name="dr6u" hidden="1">{#N/A,#N/A,FALSE,"Assessment";#N/A,#N/A,FALSE,"Staffing";#N/A,#N/A,FALSE,"Hires";#N/A,#N/A,FALSE,"Assumptions"}</definedName>
    <definedName name="draft">#REF!</definedName>
    <definedName name="DT">#REF!</definedName>
    <definedName name="DTWT">#REF!</definedName>
    <definedName name="DTWT2">#REF!</definedName>
    <definedName name="DTWTYN">#REF!</definedName>
    <definedName name="DTYN">#REF!</definedName>
    <definedName name="e">#REF!</definedName>
    <definedName name="EFG">#REF!</definedName>
    <definedName name="Engineering_Links">#REF!</definedName>
    <definedName name="EngineeringLinksStart">#REF!</definedName>
    <definedName name="EngineeringStart">#REF!</definedName>
    <definedName name="EngLinksStart">#REF!</definedName>
    <definedName name="EngSummaryStart">#REF!</definedName>
    <definedName name="EntityVariables">#REF!</definedName>
    <definedName name="EU">#REF!</definedName>
    <definedName name="euro">#REF!</definedName>
    <definedName name="ExchBase">#REF!</definedName>
    <definedName name="ExchBase2">#REF!</definedName>
    <definedName name="ExchIncr">#REF!</definedName>
    <definedName name="expense_2021">#REF!</definedName>
    <definedName name="FA">#REF!</definedName>
    <definedName name="FA_LIST">#REF!</definedName>
    <definedName name="FastTrack">#REF!</definedName>
    <definedName name="feb">#REF!</definedName>
    <definedName name="Fee">#REF!</definedName>
    <definedName name="fgh" hidden="1">{#N/A,#N/A,FALSE,"dec98qtr";#N/A,#N/A,FALSE,"suppdecsep98";#N/A,#N/A,FALSE,"w-dec98"}</definedName>
    <definedName name="FidelityInsurance">#REF!</definedName>
    <definedName name="file">#REF!</definedName>
    <definedName name="Fono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ForeignTravel">#REF!</definedName>
    <definedName name="format11">#REF!</definedName>
    <definedName name="format11p">#REF!</definedName>
    <definedName name="format12">#REF!</definedName>
    <definedName name="format12p">#REF!</definedName>
    <definedName name="fpdate">#REF!</definedName>
    <definedName name="frequency">{"Annually";"Semi-Annually";"Quarterly";"Bi-Monthly";"Monthly";"Semi-Monthly";"Bi-Weekly"}</definedName>
    <definedName name="frequency_1">{"Annually";"Semi-Annually";"Quarterly";"Bi-Monthly";"Monthly";"Semi-Monthly";"Bi-Weekly"}</definedName>
    <definedName name="frequency_2">{"Annually";"Semi-Annually";"Quarterly";"Bi-Monthly";"Monthly";"Semi-Monthly";"Bi-Weekly"}</definedName>
    <definedName name="frequency_3">{"Annually";"Semi-Annually";"Quarterly";"Bi-Monthly";"Monthly";"Semi-Monthly";"Bi-Weekly"}</definedName>
    <definedName name="frequency_4">{"Annually";"Semi-Annually";"Quarterly";"Bi-Monthly";"Monthly";"Semi-Monthly";"Bi-Weekly"}</definedName>
    <definedName name="frequency_5">{"Annually";"Semi-Annually";"Quarterly";"Bi-Monthly";"Monthly";"Semi-Monthly";"Bi-Weekly"}</definedName>
    <definedName name="Fuel___Power_Energy_Savings">"ceramic _ass"</definedName>
    <definedName name="fx">#REF!</definedName>
    <definedName name="fxb">#REF!</definedName>
    <definedName name="fxc">#REF!</definedName>
    <definedName name="fxd">#REF!</definedName>
    <definedName name="FY">#REF!</definedName>
    <definedName name="gbp">#REF!</definedName>
    <definedName name="gfgdhf" hidden="1">{"Sales 2",#N/A,FALSE,"SALES";"Transfer 2",#N/A,FALSE,"TRANSFERS";"A1460",#N/A,FALSE,"A1460"}</definedName>
    <definedName name="gg" hidden="1">{"Sales 2",#N/A,FALSE,"SALES";"Transfer 2",#N/A,FALSE,"TRANSFERS";"A1460",#N/A,FALSE,"A1460"}</definedName>
    <definedName name="ggf" hidden="1">{#N/A,#N/A,FALSE,"dec98qtr";#N/A,#N/A,FALSE,"suppdecsep98";#N/A,#N/A,FALSE,"w-dec98"}</definedName>
    <definedName name="GH" hidden="1">{"MSS",#N/A,FALSE,"MSS";"ProdSA",#N/A,FALSE,"ProdSA";"Sales 1",#N/A,FALSE,"SALES";"Transfer 1",#N/A,FALSE,"TRANSFERS"}</definedName>
    <definedName name="GroupLifeInsurance">#REF!</definedName>
    <definedName name="GroupSharedCost">#REF!</definedName>
    <definedName name="h">#REF!</definedName>
    <definedName name="Has_Consolidated_Statement">#REF!</definedName>
    <definedName name="hfh" hidden="1">{#N/A,#N/A,FALSE,"dec98qtr";#N/A,#N/A,FALSE,"suppdecsep98";#N/A,#N/A,FALSE,"w-dec98"}</definedName>
    <definedName name="hgf" hidden="1">{"Sales 2",#N/A,FALSE,"SALES";"Transfer 2",#N/A,FALSE,"TRANSFERS";"A1460",#N/A,FALSE,"A1460"}</definedName>
    <definedName name="hgg" hidden="1">{"Sales 2",#N/A,FALSE,"SALES";"Transfer 2",#N/A,FALSE,"TRANSFERS";"A1460",#N/A,FALSE,"A1460"}</definedName>
    <definedName name="HO_Exp_Alloc">#REF!</definedName>
    <definedName name="HO_Expense_lookup_prev_month_Column_no">#REF!</definedName>
    <definedName name="HOMFE" hidden="1">{#N/A,#N/A,FALSE,"Assessment";#N/A,#N/A,FALSE,"Staffing";#N/A,#N/A,FALSE,"Hires";#N/A,#N/A,FALSE,"Assumptions"}</definedName>
    <definedName name="IFF">#REF!</definedName>
    <definedName name="Image_Lookup">INDEX(#REF!,MATCH(#REF!,#REF!,0),2)</definedName>
    <definedName name="Import_Export_Region">#REF!</definedName>
    <definedName name="INCCOMBO">#REF!</definedName>
    <definedName name="Incentives">#REF!</definedName>
    <definedName name="income">#REF!</definedName>
    <definedName name="Income_Statement">#REF!</definedName>
    <definedName name="INDO">FV(rate,chart_nper,payment,-loan_amount)</definedName>
    <definedName name="indoo">#N/A</definedName>
    <definedName name="Ins">#REF!</definedName>
    <definedName name="Insight">#REF!</definedName>
    <definedName name="Insurance">#REF!</definedName>
    <definedName name="InterconnectIncomeStart">#REF!</definedName>
    <definedName name="InterconnectStart">#REF!</definedName>
    <definedName name="InterExpDIY">#REF!</definedName>
    <definedName name="IntPmt" hidden="1">#REF!</definedName>
    <definedName name="ipoexit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GROWTH_1" hidden="1">"IQ_EBITDA_GROWTH_1"</definedName>
    <definedName name="IQ_EBITDA_GROWTH_2" hidden="1">"IQ_EBITDA_GROWTH_2"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1" hidden="1">"IQ_EPS_EST_1"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SALEPRICE" hidden="1">"c646"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"IQ_REVENUE_EST"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NUSUAL_EXP" hidden="1">"c18"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TSupport">#REF!</definedName>
    <definedName name="jk" hidden="1">{#N/A,#N/A,FALSE,"FY97";#N/A,#N/A,FALSE,"FY98";#N/A,#N/A,FALSE,"FY99";#N/A,#N/A,FALSE,"FY00";#N/A,#N/A,FALSE,"FY01"}</definedName>
    <definedName name="jkjk" hidden="1">{"MSS",#N/A,FALSE,"MSS";"ProdSA",#N/A,FALSE,"ProdSA";"Sales 1",#N/A,FALSE,"SALES";"Transfer 1",#N/A,FALSE,"TRANSFERS"}</definedName>
    <definedName name="JNJ">#REF!</definedName>
    <definedName name="JoiningExpense">#REF!</definedName>
    <definedName name="JR_PAGE_ANCHOR_0_1">#REF!</definedName>
    <definedName name="JR_PAGE_ANCHOR_2_1">#REF!</definedName>
    <definedName name="JR_PAGE_ANCHOR_3_1">#REF!</definedName>
    <definedName name="JR_PAGE_ANCHOR_4_1">#REF!</definedName>
    <definedName name="k" hidden="1">{"Sales 2",#N/A,FALSE,"SALES";"Transfer 2",#N/A,FALSE,"TRANSFERS";"A1460",#N/A,FALSE,"A1460"}</definedName>
    <definedName name="KAL">FV(rate,chart_nper,payment,-loan_amount)</definedName>
    <definedName name="KEVIN">#REF!</definedName>
    <definedName name="kjjk" hidden="1">{#N/A,#N/A,FALSE,"dec98qtr";#N/A,#N/A,FALSE,"suppdecsep98";#N/A,#N/A,FALSE,"w-dec98"}</definedName>
    <definedName name="KKK" hidden="1">{#N/A,#N/A,FALSE,"Assessment";#N/A,#N/A,FALSE,"Staffing";#N/A,#N/A,FALSE,"Hires";#N/A,#N/A,FALSE,"Assumptions"}</definedName>
    <definedName name="kuyf">#REF!</definedName>
    <definedName name="l">#REF!</definedName>
    <definedName name="LatestFYE">#REF!</definedName>
    <definedName name="LED" hidden="1">{"Sales 2",#N/A,FALSE,"SALES";"Transfer 2",#N/A,FALSE,"TRANSFERS";"A1460",#N/A,FALSE,"A1460"}</definedName>
    <definedName name="Legal">#REF!</definedName>
    <definedName name="legal_status_comapny">#REF!</definedName>
    <definedName name="limcount" hidden="1">1</definedName>
    <definedName name="LL_Length">#REF!</definedName>
    <definedName name="LL_Price_Evolution">#REF!</definedName>
    <definedName name="loan_amount">#REF!</definedName>
    <definedName name="LoanIntMethod" hidden="1">#REF!</definedName>
    <definedName name="LoanTo" hidden="1">#REF!</definedName>
    <definedName name="LoanType" hidden="1">#REF!</definedName>
    <definedName name="LocalConveyance">#REF!</definedName>
    <definedName name="LTEC">#REF!</definedName>
    <definedName name="LTECMININV">#REF!</definedName>
    <definedName name="LTECTOTAL">#REF!</definedName>
    <definedName name="Ltitle">#REF!</definedName>
    <definedName name="ManagersPerExecutive_Outsourcing">#REF!</definedName>
    <definedName name="MARKETING07">#REF!</definedName>
    <definedName name="MARKETING98">#REF!</definedName>
    <definedName name="MARKETINGALL">#REF!</definedName>
    <definedName name="MCB">#REF!</definedName>
    <definedName name="MDT">#REF!</definedName>
    <definedName name="MerrillPrintIt" hidden="1">#REF!</definedName>
    <definedName name="mike" hidden="1">#REF!</definedName>
    <definedName name="mil">#REF!</definedName>
    <definedName name="Million">#REF!</definedName>
    <definedName name="MiscOfficeExpense">#REF!</definedName>
    <definedName name="missing">#REF!</definedName>
    <definedName name="mj" hidden="1">{#N/A,#N/A,FALSE,"FY97";#N/A,#N/A,FALSE,"FY98";#N/A,#N/A,FALSE,"FY99";#N/A,#N/A,FALSE,"FY00";#N/A,#N/A,FALSE,"FY01"}</definedName>
    <definedName name="mktsize2data">#REF!</definedName>
    <definedName name="mktsize34">#REF!</definedName>
    <definedName name="mktsize64data">#REF!</definedName>
    <definedName name="mktsize9.6">#REF!</definedName>
    <definedName name="mn">#REF!</definedName>
    <definedName name="MoneyInsurance">#REF!</definedName>
    <definedName name="monthly_Achievement_Reference">#REF!</definedName>
    <definedName name="Monthly_Reference_Column">#REF!</definedName>
    <definedName name="monthly_salaries">#REF!</definedName>
    <definedName name="MonthlyTargetReference">#REF!</definedName>
    <definedName name="Months">#REF!</definedName>
    <definedName name="months_per_period">INDEX({12,6,3,2,1,0.5,0.5},MATCH(#REF!,frequency,0))</definedName>
    <definedName name="myrange">#REF!</definedName>
    <definedName name="NameOfVendor">#REF!</definedName>
    <definedName name="NATURE_OF_REPORT">#REF!</definedName>
    <definedName name="NavPoint">#REF!</definedName>
    <definedName name="NBV">#REF!</definedName>
    <definedName name="new" hidden="1">{#N/A,#N/A,TRUE,"ProFormaProfit";#N/A,#N/A,TRUE,"ProFormaCash";#N/A,#N/A,TRUE,"Depreciation";#N/A,#N/A,TRUE,"Assets";#N/A,#N/A,TRUE,"Revenue";#N/A,#N/A,TRUE,"EstimatedPurchase"}</definedName>
    <definedName name="new_Billing">#REF!</definedName>
    <definedName name="new_hire_salaries">#REF!</definedName>
    <definedName name="NewRange" hidden="1">#REF!</definedName>
    <definedName name="njhhgdrsxngf">#REF!</definedName>
    <definedName name="nonno" hidden="1">{#N/A,#N/A,FALSE,"Assessment";#N/A,#N/A,FALSE,"Staffing";#N/A,#N/A,FALSE,"Hires";#N/A,#N/A,FALSE,"Assumptions"}</definedName>
    <definedName name="nper">term*periods_per_year</definedName>
    <definedName name="NumCBN">#REF!</definedName>
    <definedName name="NumProducts">#REF!</definedName>
    <definedName name="NumTechnologies">#REF!</definedName>
    <definedName name="Offset_Indicator_EM">#REF!</definedName>
    <definedName name="Oman_Conversion_Rate">#REF!</definedName>
    <definedName name="OMANI">#REF!</definedName>
    <definedName name="options">#REF!</definedName>
    <definedName name="OR">#REF!</definedName>
    <definedName name="ORWT">#REF!</definedName>
    <definedName name="ORWTYN">#REF!</definedName>
    <definedName name="ORYN">#REF!</definedName>
    <definedName name="P">#REF!</definedName>
    <definedName name="P_Previous_date">#REF!</definedName>
    <definedName name="p9tg">#REF!</definedName>
    <definedName name="Page_Eighteen">#REF!</definedName>
    <definedName name="page1">#REF!</definedName>
    <definedName name="page2">#REF!</definedName>
    <definedName name="page5">#REF!</definedName>
    <definedName name="page8">#REF!</definedName>
    <definedName name="Pay_out_ratio">#REF!</definedName>
    <definedName name="payment">#REF!</definedName>
    <definedName name="PAYROLL">#REF!</definedName>
    <definedName name="pbPrinterFormat">"\\SGB24810\P0083071 on Ne03:"</definedName>
    <definedName name="pbStartPageNumber">1</definedName>
    <definedName name="pbUpdatePageNumbering">TRUE()</definedName>
    <definedName name="PeriodParameters">#REF!</definedName>
    <definedName name="periods_per_year">INDEX({1,2,4,6,12,24,26},MATCH(#REF!,frequency,0))</definedName>
    <definedName name="PJ_Tickers">#REF!</definedName>
    <definedName name="PL_Date_With_Prefix_001">#REF!</definedName>
    <definedName name="PL_Name">#REF!</definedName>
    <definedName name="pnlsumm">#REF!</definedName>
    <definedName name="Population">#REF!</definedName>
    <definedName name="porcelaine_household_proj">#REF!</definedName>
    <definedName name="ppp" hidden="1">{"FCB_ALL",#N/A,FALSE,"FCB"}</definedName>
    <definedName name="Previous_date">#REF!</definedName>
    <definedName name="Previous_Month">#REF!</definedName>
    <definedName name="Previous_Period_Cutoff">#REF!</definedName>
    <definedName name="Previous_Year">#REF!</definedName>
    <definedName name="Previous_Year_YearValue">#REF!</definedName>
    <definedName name="PriceBase">#REF!</definedName>
    <definedName name="PricePerShBase">#REF!</definedName>
    <definedName name="PricePerShIncr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ingStationary">#REF!</definedName>
    <definedName name="Profit_CY">#REF!</definedName>
    <definedName name="PROFITALL">#REF!</definedName>
    <definedName name="proforma">#REF!</definedName>
    <definedName name="ProjectWACC">#REF!</definedName>
    <definedName name="PropCapexImported">#REF!</definedName>
    <definedName name="PropertyInsurance">#REF!</definedName>
    <definedName name="prosource">#REF!</definedName>
    <definedName name="PublicLiabilityInsurance">#REF!</definedName>
    <definedName name="PY_CF_Period_ID">#REF!</definedName>
    <definedName name="PY_Curr_month">#REF!</definedName>
    <definedName name="quarprof">#REF!</definedName>
    <definedName name="quartpnl">#REF!</definedName>
    <definedName name="qwe" hidden="1">{"SUNCOM",#N/A,FALSE,"Stampa";"SUN6GG",#N/A,FALSE,"Stampa";"SUNLUN",#N/A,FALSE,"Stampa";"SUN3DS",#N/A,FALSE,"Stampa";"SUNSYS",#N/A,FALSE,"Stampa";"SUNCLG",#N/A,FALSE,"Stampa"}</definedName>
    <definedName name="rafi">#REF!</definedName>
    <definedName name="range">#REF!</definedName>
    <definedName name="rate">#REF!</definedName>
    <definedName name="REASON_SEPARATION">#REF!</definedName>
    <definedName name="receivable_DOH">#REF!</definedName>
    <definedName name="RedefinePrintTableRange" hidden="1">#REF!</definedName>
    <definedName name="reference_month">#REF!</definedName>
    <definedName name="Rent">#REF!</definedName>
    <definedName name="RepairMaintenance">#REF!</definedName>
    <definedName name="REPORT1">#REF!</definedName>
    <definedName name="REPORT2">#REF!</definedName>
    <definedName name="resources" hidden="1">{#N/A,#N/A,FALSE,"Assessment";#N/A,#N/A,FALSE,"Staffing";#N/A,#N/A,FALSE,"Hires";#N/A,#N/A,FALSE,"Assumptions"}</definedName>
    <definedName name="RoM">#REF!</definedName>
    <definedName name="RoMM">#REF!</definedName>
    <definedName name="RowLabelKeyTokens">#REF!</definedName>
    <definedName name="RowTypeTokens">#REF!</definedName>
    <definedName name="Rtitle">#REF!</definedName>
    <definedName name="rtrrtrt" hidden="1">{#N/A,#N/A,FALSE,"Assessment";#N/A,#N/A,FALSE,"Staffing";#N/A,#N/A,FALSE,"Hires";#N/A,#N/A,FALSE,"Assumptions"}</definedName>
    <definedName name="s">#REF!</definedName>
    <definedName name="S_P">#REF!</definedName>
    <definedName name="SA" hidden="1">{#N/A,#N/A,FALSE,"dec98qtr";#N/A,#N/A,FALSE,"suppdecsep98";#N/A,#N/A,FALSE,"w-dec98"}</definedName>
    <definedName name="sadlj" hidden="1">#REF!</definedName>
    <definedName name="Salaries">#REF!</definedName>
    <definedName name="Sales">#REF!</definedName>
    <definedName name="sales0102">#REF!</definedName>
    <definedName name="sdc" hidden="1">{#N/A,#N/A,TRUE,"ProFormaProfit";#N/A,#N/A,TRUE,"ProFormaCash";#N/A,#N/A,TRUE,"Depreciation";#N/A,#N/A,TRUE,"Assets";#N/A,#N/A,TRUE,"Revenue";#N/A,#N/A,TRUE,"EstimatedPurchase"}</definedName>
    <definedName name="sdfg" localSheetId="4">word</definedName>
    <definedName name="sdfg">word</definedName>
    <definedName name="sdfgsd" localSheetId="4">word</definedName>
    <definedName name="sdfgsd">word</definedName>
    <definedName name="sdfhsdjsdj" localSheetId="4">word</definedName>
    <definedName name="sdfhsdjsdj">word</definedName>
    <definedName name="sds" hidden="1">{#N/A,#N/A,TRUE,"ProFormaProfit";#N/A,#N/A,TRUE,"ProFormaCash";#N/A,#N/A,TRUE,"Depreciation";#N/A,#N/A,TRUE,"Assets";#N/A,#N/A,TRUE,"Revenue";#N/A,#N/A,TRUE,"EstimatedPurchase"}</definedName>
    <definedName name="sdsa" hidden="1">#REF!</definedName>
    <definedName name="SE_SharedCosts">#REF!</definedName>
    <definedName name="sellexit">#REF!</definedName>
    <definedName name="sencount" hidden="1">1</definedName>
    <definedName name="sens">#REF!</definedName>
    <definedName name="sensitive">#REF!</definedName>
    <definedName name="Sensitivity_CAPEX_central">#REF!</definedName>
    <definedName name="Sensitivity_CAPEX_high">#REF!</definedName>
    <definedName name="Sensitivity_CAPEX_low">#REF!</definedName>
    <definedName name="Sensitivity_EBITDA_central">#REF!</definedName>
    <definedName name="Sensitivity_EBITDA_high">#REF!</definedName>
    <definedName name="Sensitivity_EBITDA_low">#REF!</definedName>
    <definedName name="Sensitivity_revenue_central">#REF!</definedName>
    <definedName name="Sensitivity_revenue_high">#REF!</definedName>
    <definedName name="Sensitivity_revenue_low">#REF!</definedName>
    <definedName name="Sensitivity_sub_central">#REF!</definedName>
    <definedName name="Sensitivity_sub_high">#REF!</definedName>
    <definedName name="Sensitivity_sub_low">#REF!</definedName>
    <definedName name="SESharedCosts">#REF!</definedName>
    <definedName name="SESharedInsurance">#REF!</definedName>
    <definedName name="SESharedMgmtFee">#REF!</definedName>
    <definedName name="SESharedSalaries">#REF!</definedName>
    <definedName name="SESharedStaffBenefits">#REF!</definedName>
    <definedName name="SETT">#REF!</definedName>
    <definedName name="sfgs" hidden="1">{#N/A,#N/A,FALSE,"dec98qtr";#N/A,#N/A,FALSE,"suppdecsep98";#N/A,#N/A,FALSE,"w-dec98"}</definedName>
    <definedName name="SHARED_FORMULA_0">DATE(92,8,20)</definedName>
    <definedName name="SHARED_FORMULA_0___0">DATE(92,8,20)</definedName>
    <definedName name="SHARED_FORMULA_0___0___0">DATE(92,8,20)</definedName>
    <definedName name="SHARED_FORMULA_0___0___0___0">DATE(92,8,20)</definedName>
    <definedName name="SHARED_FORMULA_1">#N/A</definedName>
    <definedName name="SHARED_FORMULA_1___0">#N/A</definedName>
    <definedName name="SHARED_FORMULA_1___0___0">#N/A</definedName>
    <definedName name="SHARED_FORMULA_1___0___0___0">#N/A</definedName>
    <definedName name="SHARED_FORMULA_10">#N/A</definedName>
    <definedName name="SHARED_FORMULA_10___0">#N/A</definedName>
    <definedName name="SHARED_FORMULA_10___0___0">#N/A</definedName>
    <definedName name="SHARED_FORMULA_10___0___0___0">#N/A</definedName>
    <definedName name="SHARED_FORMULA_100">#N/A</definedName>
    <definedName name="SHARED_FORMULA_100___0">#N/A</definedName>
    <definedName name="SHARED_FORMULA_100___0___0">#N/A</definedName>
    <definedName name="SHARED_FORMULA_100___0___0___0">#N/A</definedName>
    <definedName name="SHARED_FORMULA_101">#N/A</definedName>
    <definedName name="SHARED_FORMULA_101___0">#N/A</definedName>
    <definedName name="SHARED_FORMULA_101___0___0">#N/A</definedName>
    <definedName name="SHARED_FORMULA_101___0___0___0">#N/A</definedName>
    <definedName name="SHARED_FORMULA_102">#N/A</definedName>
    <definedName name="SHARED_FORMULA_102___0">#N/A</definedName>
    <definedName name="SHARED_FORMULA_102___0___0">#N/A</definedName>
    <definedName name="SHARED_FORMULA_102___0___0___0">#N/A</definedName>
    <definedName name="SHARED_FORMULA_102___0___0___0___0">#N/A</definedName>
    <definedName name="SHARED_FORMULA_103">#N/A</definedName>
    <definedName name="SHARED_FORMULA_103___0">#N/A</definedName>
    <definedName name="SHARED_FORMULA_103___0___0">#N/A</definedName>
    <definedName name="SHARED_FORMULA_103___0___0___0">#N/A</definedName>
    <definedName name="SHARED_FORMULA_104">#N/A</definedName>
    <definedName name="SHARED_FORMULA_104___0">#N/A</definedName>
    <definedName name="SHARED_FORMULA_104___0___0">#N/A</definedName>
    <definedName name="SHARED_FORMULA_104___0___0___0">#N/A</definedName>
    <definedName name="SHARED_FORMULA_105">#N/A</definedName>
    <definedName name="SHARED_FORMULA_105___0">#N/A</definedName>
    <definedName name="SHARED_FORMULA_105___0___0">#N/A</definedName>
    <definedName name="SHARED_FORMULA_105___0___0___0">#N/A</definedName>
    <definedName name="SHARED_FORMULA_106">#N/A</definedName>
    <definedName name="SHARED_FORMULA_106___0">#N/A</definedName>
    <definedName name="SHARED_FORMULA_106___0___0">#N/A</definedName>
    <definedName name="SHARED_FORMULA_106___0___0___0">#N/A</definedName>
    <definedName name="SHARED_FORMULA_107">#N/A</definedName>
    <definedName name="SHARED_FORMULA_107___0">#N/A</definedName>
    <definedName name="SHARED_FORMULA_107___0___0">#N/A</definedName>
    <definedName name="SHARED_FORMULA_107___0___0___0">#N/A</definedName>
    <definedName name="SHARED_FORMULA_108">#N/A</definedName>
    <definedName name="SHARED_FORMULA_108___0">#N/A</definedName>
    <definedName name="SHARED_FORMULA_108___0___0">#N/A</definedName>
    <definedName name="SHARED_FORMULA_108___0___0___0">#N/A</definedName>
    <definedName name="SHARED_FORMULA_109">#N/A</definedName>
    <definedName name="SHARED_FORMULA_109___0">#N/A</definedName>
    <definedName name="SHARED_FORMULA_109___0___0">#N/A</definedName>
    <definedName name="SHARED_FORMULA_109___0___0___0">#N/A</definedName>
    <definedName name="SHARED_FORMULA_109___0___0___0___0">#N/A</definedName>
    <definedName name="SHARED_FORMULA_11">#N/A</definedName>
    <definedName name="SHARED_FORMULA_11___0">#N/A</definedName>
    <definedName name="SHARED_FORMULA_11___0___0">#N/A</definedName>
    <definedName name="SHARED_FORMULA_11___0___0___0">#N/A</definedName>
    <definedName name="SHARED_FORMULA_110">#N/A</definedName>
    <definedName name="SHARED_FORMULA_110___0">#N/A</definedName>
    <definedName name="SHARED_FORMULA_110___0___0">#N/A</definedName>
    <definedName name="SHARED_FORMULA_110___0___0___0">#N/A</definedName>
    <definedName name="SHARED_FORMULA_110___0___0___0___0">#N/A</definedName>
    <definedName name="SHARED_FORMULA_111">DATE(88,8,15)</definedName>
    <definedName name="SHARED_FORMULA_111___0">#N/A</definedName>
    <definedName name="SHARED_FORMULA_111___0___0">#N/A</definedName>
    <definedName name="SHARED_FORMULA_111___0___0___0">#N/A</definedName>
    <definedName name="SHARED_FORMULA_112">#N/A</definedName>
    <definedName name="SHARED_FORMULA_112___0">#N/A</definedName>
    <definedName name="SHARED_FORMULA_112___0___0">#N/A</definedName>
    <definedName name="SHARED_FORMULA_112___0___0___0">#N/A</definedName>
    <definedName name="SHARED_FORMULA_113">#N/A</definedName>
    <definedName name="SHARED_FORMULA_113___0">#N/A</definedName>
    <definedName name="SHARED_FORMULA_113___0___0">#N/A</definedName>
    <definedName name="SHARED_FORMULA_113___0___0___0">#N/A</definedName>
    <definedName name="SHARED_FORMULA_114">#N/A</definedName>
    <definedName name="SHARED_FORMULA_114___0">#N/A</definedName>
    <definedName name="SHARED_FORMULA_114___0___0">#N/A</definedName>
    <definedName name="SHARED_FORMULA_114___0___0___0">#N/A</definedName>
    <definedName name="SHARED_FORMULA_115">#N/A</definedName>
    <definedName name="SHARED_FORMULA_115___0">#N/A</definedName>
    <definedName name="SHARED_FORMULA_115___0___0">#N/A</definedName>
    <definedName name="SHARED_FORMULA_115___0___0___0">#N/A</definedName>
    <definedName name="SHARED_FORMULA_116">#N/A</definedName>
    <definedName name="SHARED_FORMULA_116___0">#N/A</definedName>
    <definedName name="SHARED_FORMULA_116___0___0">NA()</definedName>
    <definedName name="SHARED_FORMULA_116___0___0___0">DATE(88,8,15)</definedName>
    <definedName name="SHARED_FORMULA_117">#N/A</definedName>
    <definedName name="SHARED_FORMULA_117___0">#N/A</definedName>
    <definedName name="SHARED_FORMULA_117___0___0">#N/A</definedName>
    <definedName name="SHARED_FORMULA_117___0___0___0">#N/A</definedName>
    <definedName name="SHARED_FORMULA_118">#N/A</definedName>
    <definedName name="SHARED_FORMULA_118___0">#N/A</definedName>
    <definedName name="SHARED_FORMULA_118___0___0">NA()</definedName>
    <definedName name="SHARED_FORMULA_118___0___0___0">#N/A</definedName>
    <definedName name="SHARED_FORMULA_119">#N/A</definedName>
    <definedName name="SHARED_FORMULA_119___0">DATE(88,8,15)</definedName>
    <definedName name="SHARED_FORMULA_119___0___0">#N/A</definedName>
    <definedName name="SHARED_FORMULA_119___0___0___0">#N/A</definedName>
    <definedName name="SHARED_FORMULA_12">DATE(91,5,29)</definedName>
    <definedName name="SHARED_FORMULA_12___0">#N/A</definedName>
    <definedName name="SHARED_FORMULA_12___0___0">#N/A</definedName>
    <definedName name="SHARED_FORMULA_12___0___0___0">#N/A</definedName>
    <definedName name="SHARED_FORMULA_120">#N/A</definedName>
    <definedName name="SHARED_FORMULA_120___0">#N/A</definedName>
    <definedName name="SHARED_FORMULA_120___0___0">DATE(88,8,15)</definedName>
    <definedName name="SHARED_FORMULA_120___0___0___0">#N/A</definedName>
    <definedName name="SHARED_FORMULA_121">#N/A</definedName>
    <definedName name="SHARED_FORMULA_121___0">#N/A</definedName>
    <definedName name="SHARED_FORMULA_121___0___0">#N/A</definedName>
    <definedName name="SHARED_FORMULA_121___0___0___0">#N/A</definedName>
    <definedName name="SHARED_FORMULA_122">#N/A</definedName>
    <definedName name="SHARED_FORMULA_122___0">#N/A</definedName>
    <definedName name="SHARED_FORMULA_122___0___0">#N/A</definedName>
    <definedName name="SHARED_FORMULA_122___0___0___0">#N/A</definedName>
    <definedName name="SHARED_FORMULA_123">#N/A</definedName>
    <definedName name="SHARED_FORMULA_123___0">#N/A</definedName>
    <definedName name="SHARED_FORMULA_123___0___0">#N/A</definedName>
    <definedName name="SHARED_FORMULA_123___0___0___0">#N/A</definedName>
    <definedName name="SHARED_FORMULA_123___0___0___0___0">#N/A</definedName>
    <definedName name="SHARED_FORMULA_124">#N/A</definedName>
    <definedName name="SHARED_FORMULA_124___0">#N/A</definedName>
    <definedName name="SHARED_FORMULA_124___0___0">#N/A</definedName>
    <definedName name="SHARED_FORMULA_124___0___0___0">#N/A</definedName>
    <definedName name="SHARED_FORMULA_125">#N/A</definedName>
    <definedName name="SHARED_FORMULA_125___0">#N/A</definedName>
    <definedName name="SHARED_FORMULA_125___0___0">#N/A</definedName>
    <definedName name="SHARED_FORMULA_125___0___0___0">#N/A</definedName>
    <definedName name="SHARED_FORMULA_126">#N/A</definedName>
    <definedName name="SHARED_FORMULA_126___0">#N/A</definedName>
    <definedName name="SHARED_FORMULA_126___0___0">#N/A</definedName>
    <definedName name="SHARED_FORMULA_126___0___0___0">#N/A</definedName>
    <definedName name="SHARED_FORMULA_127">#N/A</definedName>
    <definedName name="SHARED_FORMULA_127___0">#N/A</definedName>
    <definedName name="SHARED_FORMULA_127___0___0">#N/A</definedName>
    <definedName name="SHARED_FORMULA_127___0___0___0">#N/A</definedName>
    <definedName name="SHARED_FORMULA_128">#N/A</definedName>
    <definedName name="SHARED_FORMULA_128___0">#N/A</definedName>
    <definedName name="SHARED_FORMULA_128___0___0">#N/A</definedName>
    <definedName name="SHARED_FORMULA_128___0___0___0">#N/A</definedName>
    <definedName name="SHARED_FORMULA_129">#N/A</definedName>
    <definedName name="SHARED_FORMULA_129___0">#N/A</definedName>
    <definedName name="SHARED_FORMULA_129___0___0">#N/A</definedName>
    <definedName name="SHARED_FORMULA_129___0___0___0">#N/A</definedName>
    <definedName name="SHARED_FORMULA_13">#N/A</definedName>
    <definedName name="SHARED_FORMULA_13___0">#N/A</definedName>
    <definedName name="SHARED_FORMULA_13___0___0">#N/A</definedName>
    <definedName name="SHARED_FORMULA_13___0___0___0">#N/A</definedName>
    <definedName name="SHARED_FORMULA_130">#N/A</definedName>
    <definedName name="SHARED_FORMULA_130___0">#N/A</definedName>
    <definedName name="SHARED_FORMULA_130___0___0">#N/A</definedName>
    <definedName name="SHARED_FORMULA_130___0___0___0">#N/A</definedName>
    <definedName name="SHARED_FORMULA_131">#N/A</definedName>
    <definedName name="SHARED_FORMULA_131___0">#N/A</definedName>
    <definedName name="SHARED_FORMULA_131___0___0">#N/A</definedName>
    <definedName name="SHARED_FORMULA_131___0___0___0">#N/A</definedName>
    <definedName name="SHARED_FORMULA_131___0___0___0___0">#N/A</definedName>
    <definedName name="SHARED_FORMULA_132">#N/A</definedName>
    <definedName name="SHARED_FORMULA_132___0">#N/A</definedName>
    <definedName name="SHARED_FORMULA_132___0___0">#N/A</definedName>
    <definedName name="SHARED_FORMULA_132___0___0___0">#N/A</definedName>
    <definedName name="SHARED_FORMULA_133">#N/A</definedName>
    <definedName name="SHARED_FORMULA_133___0">#N/A</definedName>
    <definedName name="SHARED_FORMULA_133___0___0">#N/A</definedName>
    <definedName name="SHARED_FORMULA_133___0___0___0">NA()</definedName>
    <definedName name="SHARED_FORMULA_134">#N/A</definedName>
    <definedName name="SHARED_FORMULA_134___0">#N/A</definedName>
    <definedName name="SHARED_FORMULA_134___0___0">#N/A</definedName>
    <definedName name="SHARED_FORMULA_134___0___0___0">NA()</definedName>
    <definedName name="SHARED_FORMULA_135">#N/A</definedName>
    <definedName name="SHARED_FORMULA_135___0">#N/A</definedName>
    <definedName name="SHARED_FORMULA_135___0___0">#N/A</definedName>
    <definedName name="SHARED_FORMULA_135___0___0___0">#N/A</definedName>
    <definedName name="SHARED_FORMULA_136">#N/A</definedName>
    <definedName name="SHARED_FORMULA_136___0">#N/A</definedName>
    <definedName name="SHARED_FORMULA_136___0___0">#N/A</definedName>
    <definedName name="SHARED_FORMULA_136___0___0___0">#N/A</definedName>
    <definedName name="SHARED_FORMULA_137">#N/A</definedName>
    <definedName name="SHARED_FORMULA_137___0">#N/A</definedName>
    <definedName name="SHARED_FORMULA_137___0___0">#N/A</definedName>
    <definedName name="SHARED_FORMULA_137___0___0___0">#N/A</definedName>
    <definedName name="SHARED_FORMULA_138">DATE(96,1,1)</definedName>
    <definedName name="SHARED_FORMULA_138___0">#N/A</definedName>
    <definedName name="SHARED_FORMULA_138___0___0">#N/A</definedName>
    <definedName name="SHARED_FORMULA_138___0___0___0">#N/A</definedName>
    <definedName name="SHARED_FORMULA_139">#N/A</definedName>
    <definedName name="SHARED_FORMULA_139___0">#N/A</definedName>
    <definedName name="SHARED_FORMULA_139___0___0">#N/A</definedName>
    <definedName name="SHARED_FORMULA_139___0___0___0">#N/A</definedName>
    <definedName name="SHARED_FORMULA_14">#N/A</definedName>
    <definedName name="SHARED_FORMULA_14___0">DATE(91,5,29)</definedName>
    <definedName name="SHARED_FORMULA_14___0___0">DATE(91,5,29)</definedName>
    <definedName name="SHARED_FORMULA_14___0___0___0">DATE(91,5,29)</definedName>
    <definedName name="SHARED_FORMULA_140">#N/A</definedName>
    <definedName name="SHARED_FORMULA_140___0">#N/A</definedName>
    <definedName name="SHARED_FORMULA_140___0___0">#N/A</definedName>
    <definedName name="SHARED_FORMULA_140___0___0___0">#N/A</definedName>
    <definedName name="SHARED_FORMULA_141">#N/A</definedName>
    <definedName name="SHARED_FORMULA_141___0">#N/A</definedName>
    <definedName name="SHARED_FORMULA_141___0___0">#N/A</definedName>
    <definedName name="SHARED_FORMULA_141___0___0___0">#N/A</definedName>
    <definedName name="SHARED_FORMULA_142">DATE(96,1,1)</definedName>
    <definedName name="SHARED_FORMULA_142___0">#N/A</definedName>
    <definedName name="SHARED_FORMULA_142___0___0">NA()</definedName>
    <definedName name="SHARED_FORMULA_142___0___0___0">#N/A</definedName>
    <definedName name="SHARED_FORMULA_143">DATE(96,1,1)</definedName>
    <definedName name="SHARED_FORMULA_143___0">#N/A</definedName>
    <definedName name="SHARED_FORMULA_143___0___0">#N/A</definedName>
    <definedName name="SHARED_FORMULA_143___0___0___0">#N/A</definedName>
    <definedName name="SHARED_FORMULA_144">#N/A</definedName>
    <definedName name="SHARED_FORMULA_144___0">#N/A</definedName>
    <definedName name="SHARED_FORMULA_144___0___0">#N/A</definedName>
    <definedName name="SHARED_FORMULA_144___0___0___0">#N/A</definedName>
    <definedName name="SHARED_FORMULA_145">#N/A</definedName>
    <definedName name="SHARED_FORMULA_145___0">#N/A</definedName>
    <definedName name="SHARED_FORMULA_145___0___0">#N/A</definedName>
    <definedName name="SHARED_FORMULA_145___0___0___0">#N/A</definedName>
    <definedName name="SHARED_FORMULA_145___0___0___0___0">#N/A</definedName>
    <definedName name="SHARED_FORMULA_146">#N/A</definedName>
    <definedName name="SHARED_FORMULA_146___0">#N/A</definedName>
    <definedName name="SHARED_FORMULA_146___0___0">#N/A</definedName>
    <definedName name="SHARED_FORMULA_146___0___0___0">#N/A</definedName>
    <definedName name="SHARED_FORMULA_146___0___0___0___0">#N/A</definedName>
    <definedName name="SHARED_FORMULA_147">#N/A</definedName>
    <definedName name="SHARED_FORMULA_147___0">#N/A</definedName>
    <definedName name="SHARED_FORMULA_147___0___0">#N/A</definedName>
    <definedName name="SHARED_FORMULA_147___0___0___0">DATE(96,1,1)</definedName>
    <definedName name="SHARED_FORMULA_148">#N/A</definedName>
    <definedName name="SHARED_FORMULA_148___0">#N/A</definedName>
    <definedName name="SHARED_FORMULA_148___0___0">#N/A</definedName>
    <definedName name="SHARED_FORMULA_148___0___0___0">DATE(96,1,1)</definedName>
    <definedName name="SHARED_FORMULA_149">#N/A</definedName>
    <definedName name="SHARED_FORMULA_149___0">DATE(96,1,1)</definedName>
    <definedName name="SHARED_FORMULA_149___0___0">#N/A</definedName>
    <definedName name="SHARED_FORMULA_149___0___0___0">#N/A</definedName>
    <definedName name="SHARED_FORMULA_15">#N/A</definedName>
    <definedName name="SHARED_FORMULA_15___0">#N/A</definedName>
    <definedName name="SHARED_FORMULA_15___0___0">#N/A</definedName>
    <definedName name="SHARED_FORMULA_15___0___0___0">#N/A</definedName>
    <definedName name="SHARED_FORMULA_150">#N/A</definedName>
    <definedName name="SHARED_FORMULA_150___0">DATE(96,1,1)</definedName>
    <definedName name="SHARED_FORMULA_150___0___0">DATE(96,1,1)</definedName>
    <definedName name="SHARED_FORMULA_150___0___0___0">#N/A</definedName>
    <definedName name="SHARED_FORMULA_151">#N/A</definedName>
    <definedName name="SHARED_FORMULA_151___0">#N/A</definedName>
    <definedName name="SHARED_FORMULA_151___0___0">DATE(96,1,1)</definedName>
    <definedName name="SHARED_FORMULA_151___0___0___0">#N/A</definedName>
    <definedName name="SHARED_FORMULA_152">#N/A</definedName>
    <definedName name="SHARED_FORMULA_152___0">#N/A</definedName>
    <definedName name="SHARED_FORMULA_152___0___0">#N/A</definedName>
    <definedName name="SHARED_FORMULA_152___0___0___0">#N/A</definedName>
    <definedName name="SHARED_FORMULA_153">#N/A</definedName>
    <definedName name="SHARED_FORMULA_153___0">#N/A</definedName>
    <definedName name="SHARED_FORMULA_153___0___0">#N/A</definedName>
    <definedName name="SHARED_FORMULA_153___0___0___0">#N/A</definedName>
    <definedName name="SHARED_FORMULA_154">#N/A</definedName>
    <definedName name="SHARED_FORMULA_154___0">#N/A</definedName>
    <definedName name="SHARED_FORMULA_154___0___0">#N/A</definedName>
    <definedName name="SHARED_FORMULA_154___0___0___0">#N/A</definedName>
    <definedName name="SHARED_FORMULA_154___0___0___0___0">#N/A</definedName>
    <definedName name="SHARED_FORMULA_155">#N/A</definedName>
    <definedName name="SHARED_FORMULA_155___0">#N/A</definedName>
    <definedName name="SHARED_FORMULA_155___0___0">#N/A</definedName>
    <definedName name="SHARED_FORMULA_155___0___0___0">#N/A</definedName>
    <definedName name="SHARED_FORMULA_156">#N/A</definedName>
    <definedName name="SHARED_FORMULA_156___0">#N/A</definedName>
    <definedName name="SHARED_FORMULA_156___0___0">#N/A</definedName>
    <definedName name="SHARED_FORMULA_156___0___0___0">#N/A</definedName>
    <definedName name="SHARED_FORMULA_157">#N/A</definedName>
    <definedName name="SHARED_FORMULA_157___0">#N/A</definedName>
    <definedName name="SHARED_FORMULA_157___0___0">#N/A</definedName>
    <definedName name="SHARED_FORMULA_157___0___0___0">#N/A</definedName>
    <definedName name="SHARED_FORMULA_158">#N/A</definedName>
    <definedName name="SHARED_FORMULA_158___0">#N/A</definedName>
    <definedName name="SHARED_FORMULA_158___0___0">#N/A</definedName>
    <definedName name="SHARED_FORMULA_158___0___0___0">#N/A</definedName>
    <definedName name="SHARED_FORMULA_159">#N/A</definedName>
    <definedName name="SHARED_FORMULA_159___0">#N/A</definedName>
    <definedName name="SHARED_FORMULA_159___0___0">#N/A</definedName>
    <definedName name="SHARED_FORMULA_159___0___0___0">NA()</definedName>
    <definedName name="SHARED_FORMULA_16">#N/A</definedName>
    <definedName name="SHARED_FORMULA_16___0">#N/A</definedName>
    <definedName name="SHARED_FORMULA_16___0___0">#N/A</definedName>
    <definedName name="SHARED_FORMULA_16___0___0___0">#N/A</definedName>
    <definedName name="SHARED_FORMULA_160">#N/A</definedName>
    <definedName name="SHARED_FORMULA_160___0">#N/A</definedName>
    <definedName name="SHARED_FORMULA_160___0___0">#N/A</definedName>
    <definedName name="SHARED_FORMULA_160___0___0___0">NA()</definedName>
    <definedName name="SHARED_FORMULA_161">#N/A</definedName>
    <definedName name="SHARED_FORMULA_161___0">#N/A</definedName>
    <definedName name="SHARED_FORMULA_161___0___0">NA()</definedName>
    <definedName name="SHARED_FORMULA_161___0___0___0">#N/A</definedName>
    <definedName name="SHARED_FORMULA_162">#N/A</definedName>
    <definedName name="SHARED_FORMULA_162___0">#N/A</definedName>
    <definedName name="SHARED_FORMULA_162___0___0">NA()</definedName>
    <definedName name="SHARED_FORMULA_162___0___0___0">#N/A</definedName>
    <definedName name="SHARED_FORMULA_163">#N/A</definedName>
    <definedName name="SHARED_FORMULA_163___0">#N/A</definedName>
    <definedName name="SHARED_FORMULA_163___0___0">#N/A</definedName>
    <definedName name="SHARED_FORMULA_163___0___0___0">#N/A</definedName>
    <definedName name="SHARED_FORMULA_164">#N/A</definedName>
    <definedName name="SHARED_FORMULA_164___0">#N/A</definedName>
    <definedName name="SHARED_FORMULA_164___0___0">#N/A</definedName>
    <definedName name="SHARED_FORMULA_164___0___0___0">NA()</definedName>
    <definedName name="SHARED_FORMULA_165">#N/A</definedName>
    <definedName name="SHARED_FORMULA_165___0">#N/A</definedName>
    <definedName name="SHARED_FORMULA_165___0___0">#N/A</definedName>
    <definedName name="SHARED_FORMULA_165___0___0___0">NA()</definedName>
    <definedName name="SHARED_FORMULA_166">#N/A</definedName>
    <definedName name="SHARED_FORMULA_166___0">#N/A</definedName>
    <definedName name="SHARED_FORMULA_166___0___0">NA()</definedName>
    <definedName name="SHARED_FORMULA_166___0___0___0">#N/A</definedName>
    <definedName name="SHARED_FORMULA_167">#N/A</definedName>
    <definedName name="SHARED_FORMULA_167___0">#N/A</definedName>
    <definedName name="SHARED_FORMULA_167___0___0">NA()</definedName>
    <definedName name="SHARED_FORMULA_167___0___0___0">#N/A</definedName>
    <definedName name="SHARED_FORMULA_168">#N/A</definedName>
    <definedName name="SHARED_FORMULA_168___0">#N/A</definedName>
    <definedName name="SHARED_FORMULA_168___0___0">#N/A</definedName>
    <definedName name="SHARED_FORMULA_168___0___0___0">#N/A</definedName>
    <definedName name="SHARED_FORMULA_169">DATE(90,4,18)</definedName>
    <definedName name="SHARED_FORMULA_169___0">#N/A</definedName>
    <definedName name="SHARED_FORMULA_169___0___0">#N/A</definedName>
    <definedName name="SHARED_FORMULA_169___0___0___0">#N/A</definedName>
    <definedName name="SHARED_FORMULA_17">#N/A</definedName>
    <definedName name="SHARED_FORMULA_17___0">#N/A</definedName>
    <definedName name="SHARED_FORMULA_17___0___0">#N/A</definedName>
    <definedName name="SHARED_FORMULA_17___0___0___0">#N/A</definedName>
    <definedName name="SHARED_FORMULA_170">#N/A</definedName>
    <definedName name="SHARED_FORMULA_170___0">#N/A</definedName>
    <definedName name="SHARED_FORMULA_170___0___0">#N/A</definedName>
    <definedName name="SHARED_FORMULA_170___0___0___0">#N/A</definedName>
    <definedName name="SHARED_FORMULA_171">#N/A</definedName>
    <definedName name="SHARED_FORMULA_171___0">#N/A</definedName>
    <definedName name="SHARED_FORMULA_171___0___0">#N/A</definedName>
    <definedName name="SHARED_FORMULA_171___0___0___0">#N/A</definedName>
    <definedName name="SHARED_FORMULA_172">#N/A</definedName>
    <definedName name="SHARED_FORMULA_172___0">#N/A</definedName>
    <definedName name="SHARED_FORMULA_172___0___0">#N/A</definedName>
    <definedName name="SHARED_FORMULA_172___0___0___0">#N/A</definedName>
    <definedName name="SHARED_FORMULA_173">#N/A</definedName>
    <definedName name="SHARED_FORMULA_173___0">#N/A</definedName>
    <definedName name="SHARED_FORMULA_173___0___0">#N/A</definedName>
    <definedName name="SHARED_FORMULA_173___0___0___0">DATE(90,4,18)</definedName>
    <definedName name="SHARED_FORMULA_174">#N/A</definedName>
    <definedName name="SHARED_FORMULA_174___0">DATE(90,4,18)</definedName>
    <definedName name="SHARED_FORMULA_174___0___0">#N/A</definedName>
    <definedName name="SHARED_FORMULA_174___0___0___0">#N/A</definedName>
    <definedName name="SHARED_FORMULA_175">#N/A</definedName>
    <definedName name="SHARED_FORMULA_175___0">#N/A</definedName>
    <definedName name="SHARED_FORMULA_175___0___0">DATE(90,4,18)</definedName>
    <definedName name="SHARED_FORMULA_175___0___0___0">#N/A</definedName>
    <definedName name="SHARED_FORMULA_176">#N/A</definedName>
    <definedName name="SHARED_FORMULA_176___0">#N/A</definedName>
    <definedName name="SHARED_FORMULA_176___0___0">#N/A</definedName>
    <definedName name="SHARED_FORMULA_176___0___0___0">#N/A</definedName>
    <definedName name="SHARED_FORMULA_177">#N/A</definedName>
    <definedName name="SHARED_FORMULA_177___0">#N/A</definedName>
    <definedName name="SHARED_FORMULA_177___0___0">#N/A</definedName>
    <definedName name="SHARED_FORMULA_177___0___0___0">#N/A</definedName>
    <definedName name="SHARED_FORMULA_178">#N/A</definedName>
    <definedName name="SHARED_FORMULA_178___0">#N/A</definedName>
    <definedName name="SHARED_FORMULA_178___0___0">#N/A</definedName>
    <definedName name="SHARED_FORMULA_178___0___0___0">#N/A</definedName>
    <definedName name="SHARED_FORMULA_179">#N/A</definedName>
    <definedName name="SHARED_FORMULA_179___0">#N/A</definedName>
    <definedName name="SHARED_FORMULA_179___0___0">#N/A</definedName>
    <definedName name="SHARED_FORMULA_179___0___0___0">#N/A</definedName>
    <definedName name="SHARED_FORMULA_18">#N/A</definedName>
    <definedName name="SHARED_FORMULA_18___0">#N/A</definedName>
    <definedName name="SHARED_FORMULA_18___0___0">#N/A</definedName>
    <definedName name="SHARED_FORMULA_18___0___0___0">#N/A</definedName>
    <definedName name="SHARED_FORMULA_180">#N/A</definedName>
    <definedName name="SHARED_FORMULA_180___0">#N/A</definedName>
    <definedName name="SHARED_FORMULA_180___0___0">#N/A</definedName>
    <definedName name="SHARED_FORMULA_180___0___0___0">#N/A</definedName>
    <definedName name="SHARED_FORMULA_181">#N/A</definedName>
    <definedName name="SHARED_FORMULA_181___0">#N/A</definedName>
    <definedName name="SHARED_FORMULA_181___0___0">#N/A</definedName>
    <definedName name="SHARED_FORMULA_181___0___0___0">#N/A</definedName>
    <definedName name="SHARED_FORMULA_182">#N/A</definedName>
    <definedName name="SHARED_FORMULA_182___0">#N/A</definedName>
    <definedName name="SHARED_FORMULA_182___0___0">#N/A</definedName>
    <definedName name="SHARED_FORMULA_183">#N/A</definedName>
    <definedName name="SHARED_FORMULA_183___0">#N/A</definedName>
    <definedName name="SHARED_FORMULA_184">#N/A</definedName>
    <definedName name="SHARED_FORMULA_19">#N/A</definedName>
    <definedName name="SHARED_FORMULA_19___0">#N/A</definedName>
    <definedName name="SHARED_FORMULA_19___0___0">#N/A</definedName>
    <definedName name="SHARED_FORMULA_19___0___0___0">#N/A</definedName>
    <definedName name="SHARED_FORMULA_2">#N/A</definedName>
    <definedName name="SHARED_FORMULA_2___0">#N/A</definedName>
    <definedName name="SHARED_FORMULA_2___0___0">#N/A</definedName>
    <definedName name="SHARED_FORMULA_2___0___0___0">#N/A</definedName>
    <definedName name="SHARED_FORMULA_20">#N/A</definedName>
    <definedName name="SHARED_FORMULA_20___0">DATE(88,8,26)</definedName>
    <definedName name="SHARED_FORMULA_20___0___0">DATE(88,8,26)</definedName>
    <definedName name="SHARED_FORMULA_20___0___0___0">DATE(88,8,26)</definedName>
    <definedName name="SHARED_FORMULA_21">#N/A</definedName>
    <definedName name="SHARED_FORMULA_21___0">#N/A</definedName>
    <definedName name="SHARED_FORMULA_21___0___0">#N/A</definedName>
    <definedName name="SHARED_FORMULA_21___0___0___0">#N/A</definedName>
    <definedName name="SHARED_FORMULA_22">DATE(88,8,26)</definedName>
    <definedName name="SHARED_FORMULA_22___0">#N/A</definedName>
    <definedName name="SHARED_FORMULA_22___0___0">#N/A</definedName>
    <definedName name="SHARED_FORMULA_22___0___0___0">#N/A</definedName>
    <definedName name="SHARED_FORMULA_23">#N/A</definedName>
    <definedName name="SHARED_FORMULA_23___0">#N/A</definedName>
    <definedName name="SHARED_FORMULA_23___0___0">#N/A</definedName>
    <definedName name="SHARED_FORMULA_23___0___0___0">#N/A</definedName>
    <definedName name="SHARED_FORMULA_23___0___0___0___0">#N/A</definedName>
    <definedName name="SHARED_FORMULA_24">#N/A</definedName>
    <definedName name="SHARED_FORMULA_24___0">#N/A</definedName>
    <definedName name="SHARED_FORMULA_24___0___0">#N/A</definedName>
    <definedName name="SHARED_FORMULA_24___0___0___0">#N/A</definedName>
    <definedName name="SHARED_FORMULA_25">#N/A</definedName>
    <definedName name="SHARED_FORMULA_25___0">#N/A</definedName>
    <definedName name="SHARED_FORMULA_25___0___0">#N/A</definedName>
    <definedName name="SHARED_FORMULA_25___0___0___0">#N/A</definedName>
    <definedName name="SHARED_FORMULA_26">#N/A</definedName>
    <definedName name="SHARED_FORMULA_26___0">#N/A</definedName>
    <definedName name="SHARED_FORMULA_26___0___0">#N/A</definedName>
    <definedName name="SHARED_FORMULA_26___0___0___0">#N/A</definedName>
    <definedName name="SHARED_FORMULA_27">#N/A</definedName>
    <definedName name="SHARED_FORMULA_27___0">#N/A</definedName>
    <definedName name="SHARED_FORMULA_27___0___0">#N/A</definedName>
    <definedName name="SHARED_FORMULA_27___0___0___0">#N/A</definedName>
    <definedName name="SHARED_FORMULA_28">DATE(88,3,15)</definedName>
    <definedName name="SHARED_FORMULA_28___0">#N/A</definedName>
    <definedName name="SHARED_FORMULA_28___0___0">#N/A</definedName>
    <definedName name="SHARED_FORMULA_28___0___0___0">#N/A</definedName>
    <definedName name="SHARED_FORMULA_28___0___0___0___0">#N/A</definedName>
    <definedName name="SHARED_FORMULA_29">#N/A</definedName>
    <definedName name="SHARED_FORMULA_29___0">#N/A</definedName>
    <definedName name="SHARED_FORMULA_29___0___0">#N/A</definedName>
    <definedName name="SHARED_FORMULA_29___0___0___0">#N/A</definedName>
    <definedName name="SHARED_FORMULA_3">#N/A</definedName>
    <definedName name="SHARED_FORMULA_3___0">#N/A</definedName>
    <definedName name="SHARED_FORMULA_3___0___0">#N/A</definedName>
    <definedName name="SHARED_FORMULA_3___0___0___0">#N/A</definedName>
    <definedName name="SHARED_FORMULA_3___0___0___0___0">#N/A</definedName>
    <definedName name="SHARED_FORMULA_30">DATE(88,1,31)</definedName>
    <definedName name="SHARED_FORMULA_30___0">#N/A</definedName>
    <definedName name="SHARED_FORMULA_30___0___0">#N/A</definedName>
    <definedName name="SHARED_FORMULA_30___0___0___0">#N/A</definedName>
    <definedName name="SHARED_FORMULA_31">#N/A</definedName>
    <definedName name="SHARED_FORMULA_31___0">DATE(88,3,15)</definedName>
    <definedName name="SHARED_FORMULA_31___0___0">DATE(88,3,15)</definedName>
    <definedName name="SHARED_FORMULA_31___0___0___0">#N/A</definedName>
    <definedName name="SHARED_FORMULA_32">#N/A</definedName>
    <definedName name="SHARED_FORMULA_32___0">DATE(88,1,31)</definedName>
    <definedName name="SHARED_FORMULA_32___0___0">DATE(88,1,31)</definedName>
    <definedName name="SHARED_FORMULA_32___0___0___0">#N/A</definedName>
    <definedName name="SHARED_FORMULA_33">#N/A</definedName>
    <definedName name="SHARED_FORMULA_33___0">#N/A</definedName>
    <definedName name="SHARED_FORMULA_33___0___0">#N/A</definedName>
    <definedName name="SHARED_FORMULA_33___0___0___0">DATE(88,3,15)</definedName>
    <definedName name="SHARED_FORMULA_34">#N/A</definedName>
    <definedName name="SHARED_FORMULA_34___0">#N/A</definedName>
    <definedName name="SHARED_FORMULA_34___0___0">#N/A</definedName>
    <definedName name="SHARED_FORMULA_34___0___0___0">DATE(88,1,31)</definedName>
    <definedName name="SHARED_FORMULA_35">#N/A</definedName>
    <definedName name="SHARED_FORMULA_35___0">#N/A</definedName>
    <definedName name="SHARED_FORMULA_35___0___0">#N/A</definedName>
    <definedName name="SHARED_FORMULA_35___0___0___0">#N/A</definedName>
    <definedName name="SHARED_FORMULA_36">#N/A</definedName>
    <definedName name="SHARED_FORMULA_36___0">#N/A</definedName>
    <definedName name="SHARED_FORMULA_36___0___0">#N/A</definedName>
    <definedName name="SHARED_FORMULA_36___0___0___0">#N/A</definedName>
    <definedName name="SHARED_FORMULA_37">#N/A</definedName>
    <definedName name="SHARED_FORMULA_37___0">#N/A</definedName>
    <definedName name="SHARED_FORMULA_37___0___0">NA()</definedName>
    <definedName name="SHARED_FORMULA_37___0___0___0">#N/A</definedName>
    <definedName name="SHARED_FORMULA_38">#N/A</definedName>
    <definedName name="SHARED_FORMULA_38___0">#N/A</definedName>
    <definedName name="SHARED_FORMULA_38___0___0">NA()</definedName>
    <definedName name="SHARED_FORMULA_38___0___0___0">#N/A</definedName>
    <definedName name="SHARED_FORMULA_39">#N/A</definedName>
    <definedName name="SHARED_FORMULA_39___0">#N/A</definedName>
    <definedName name="SHARED_FORMULA_39___0___0">#N/A</definedName>
    <definedName name="SHARED_FORMULA_39___0___0___0">NA()</definedName>
    <definedName name="SHARED_FORMULA_4">#N/A</definedName>
    <definedName name="SHARED_FORMULA_4___0">#N/A</definedName>
    <definedName name="SHARED_FORMULA_4___0___0">#N/A</definedName>
    <definedName name="SHARED_FORMULA_4___0___0___0">#N/A</definedName>
    <definedName name="SHARED_FORMULA_40">#N/A</definedName>
    <definedName name="SHARED_FORMULA_40___0">#N/A</definedName>
    <definedName name="SHARED_FORMULA_40___0___0">#N/A</definedName>
    <definedName name="SHARED_FORMULA_40___0___0___0">NA()</definedName>
    <definedName name="SHARED_FORMULA_41">#N/A</definedName>
    <definedName name="SHARED_FORMULA_41___0">#N/A</definedName>
    <definedName name="SHARED_FORMULA_41___0___0">#N/A</definedName>
    <definedName name="SHARED_FORMULA_41___0___0___0">#N/A</definedName>
    <definedName name="SHARED_FORMULA_41___0___0___0___0">#N/A</definedName>
    <definedName name="SHARED_FORMULA_42">#N/A</definedName>
    <definedName name="SHARED_FORMULA_42___0">#N/A</definedName>
    <definedName name="SHARED_FORMULA_42___0___0">#N/A</definedName>
    <definedName name="SHARED_FORMULA_42___0___0___0">#N/A</definedName>
    <definedName name="SHARED_FORMULA_43">#N/A</definedName>
    <definedName name="SHARED_FORMULA_43___0">#N/A</definedName>
    <definedName name="SHARED_FORMULA_43___0___0">#N/A</definedName>
    <definedName name="SHARED_FORMULA_43___0___0___0">#N/A</definedName>
    <definedName name="SHARED_FORMULA_44">#N/A</definedName>
    <definedName name="SHARED_FORMULA_44___0">#N/A</definedName>
    <definedName name="SHARED_FORMULA_44___0___0">#N/A</definedName>
    <definedName name="SHARED_FORMULA_44___0___0___0">#N/A</definedName>
    <definedName name="SHARED_FORMULA_45">#N/A</definedName>
    <definedName name="SHARED_FORMULA_45___0">#N/A</definedName>
    <definedName name="SHARED_FORMULA_45___0___0">#N/A</definedName>
    <definedName name="SHARED_FORMULA_45___0___0___0">#N/A</definedName>
    <definedName name="SHARED_FORMULA_46">#N/A</definedName>
    <definedName name="SHARED_FORMULA_46___0">#N/A</definedName>
    <definedName name="SHARED_FORMULA_46___0___0">NA()</definedName>
    <definedName name="SHARED_FORMULA_46___0___0___0">#N/A</definedName>
    <definedName name="SHARED_FORMULA_47">#N/A</definedName>
    <definedName name="SHARED_FORMULA_47___0">#N/A</definedName>
    <definedName name="SHARED_FORMULA_47___0___0">NA()</definedName>
    <definedName name="SHARED_FORMULA_47___0___0___0">#N/A</definedName>
    <definedName name="SHARED_FORMULA_48">#N/A</definedName>
    <definedName name="SHARED_FORMULA_48___0">#N/A</definedName>
    <definedName name="SHARED_FORMULA_48___0___0">#N/A</definedName>
    <definedName name="SHARED_FORMULA_48___0___0___0">#N/A</definedName>
    <definedName name="SHARED_FORMULA_49">#N/A</definedName>
    <definedName name="SHARED_FORMULA_49___0">#N/A</definedName>
    <definedName name="SHARED_FORMULA_49___0___0">#N/A</definedName>
    <definedName name="SHARED_FORMULA_49___0___0___0">#N/A</definedName>
    <definedName name="SHARED_FORMULA_5">#N/A</definedName>
    <definedName name="SHARED_FORMULA_5___0">#N/A</definedName>
    <definedName name="SHARED_FORMULA_5___0___0">#N/A</definedName>
    <definedName name="SHARED_FORMULA_5___0___0___0">#N/A</definedName>
    <definedName name="SHARED_FORMULA_50">#N/A</definedName>
    <definedName name="SHARED_FORMULA_50___0">#N/A</definedName>
    <definedName name="SHARED_FORMULA_50___0___0">#N/A</definedName>
    <definedName name="SHARED_FORMULA_50___0___0___0">#N/A</definedName>
    <definedName name="SHARED_FORMULA_51">#N/A</definedName>
    <definedName name="SHARED_FORMULA_51___0">#N/A</definedName>
    <definedName name="SHARED_FORMULA_51___0___0">#N/A</definedName>
    <definedName name="SHARED_FORMULA_51___0___0___0">#N/A</definedName>
    <definedName name="SHARED_FORMULA_52">#N/A</definedName>
    <definedName name="SHARED_FORMULA_52___0">#N/A</definedName>
    <definedName name="SHARED_FORMULA_52___0___0">NA()</definedName>
    <definedName name="SHARED_FORMULA_52___0___0___0">#N/A</definedName>
    <definedName name="SHARED_FORMULA_53">#N/A</definedName>
    <definedName name="SHARED_FORMULA_53___0">#N/A</definedName>
    <definedName name="SHARED_FORMULA_53___0___0">NA()</definedName>
    <definedName name="SHARED_FORMULA_53___0___0___0">#N/A</definedName>
    <definedName name="SHARED_FORMULA_54">#N/A</definedName>
    <definedName name="SHARED_FORMULA_54___0">#N/A</definedName>
    <definedName name="SHARED_FORMULA_54___0___0">#N/A</definedName>
    <definedName name="SHARED_FORMULA_54___0___0___0">#N/A</definedName>
    <definedName name="SHARED_FORMULA_55">#N/A</definedName>
    <definedName name="SHARED_FORMULA_55___0">#N/A</definedName>
    <definedName name="SHARED_FORMULA_55___0___0">#N/A</definedName>
    <definedName name="SHARED_FORMULA_55___0___0___0">NA()</definedName>
    <definedName name="SHARED_FORMULA_56">#N/A</definedName>
    <definedName name="SHARED_FORMULA_56___0">#N/A</definedName>
    <definedName name="SHARED_FORMULA_56___0___0">#N/A</definedName>
    <definedName name="SHARED_FORMULA_56___0___0___0">NA()</definedName>
    <definedName name="SHARED_FORMULA_57">#N/A</definedName>
    <definedName name="SHARED_FORMULA_57___0">#N/A</definedName>
    <definedName name="SHARED_FORMULA_57___0___0">#N/A</definedName>
    <definedName name="SHARED_FORMULA_57___0___0___0">#N/A</definedName>
    <definedName name="SHARED_FORMULA_58">#N/A</definedName>
    <definedName name="SHARED_FORMULA_58___0">#N/A</definedName>
    <definedName name="SHARED_FORMULA_58___0___0">NA()</definedName>
    <definedName name="SHARED_FORMULA_58___0___0___0">NA()</definedName>
    <definedName name="SHARED_FORMULA_59">#N/A</definedName>
    <definedName name="SHARED_FORMULA_59___0">#N/A</definedName>
    <definedName name="SHARED_FORMULA_59___0___0">NA()</definedName>
    <definedName name="SHARED_FORMULA_59___0___0___0">NA()</definedName>
    <definedName name="SHARED_FORMULA_6">DATE(92,8,20)</definedName>
    <definedName name="SHARED_FORMULA_6___0">#N/A</definedName>
    <definedName name="SHARED_FORMULA_6___0___0">#N/A</definedName>
    <definedName name="SHARED_FORMULA_6___0___0___0">#N/A</definedName>
    <definedName name="SHARED_FORMULA_60">#N/A</definedName>
    <definedName name="SHARED_FORMULA_60___0">#N/A</definedName>
    <definedName name="SHARED_FORMULA_60___0___0">#N/A</definedName>
    <definedName name="SHARED_FORMULA_60___0___0___0">#N/A</definedName>
    <definedName name="SHARED_FORMULA_61">#N/A</definedName>
    <definedName name="SHARED_FORMULA_61___0">#N/A</definedName>
    <definedName name="SHARED_FORMULA_61___0___0">#N/A</definedName>
    <definedName name="SHARED_FORMULA_61___0___0___0">#N/A</definedName>
    <definedName name="SHARED_FORMULA_61___0___0___0___0">#N/A</definedName>
    <definedName name="SHARED_FORMULA_62">#N/A</definedName>
    <definedName name="SHARED_FORMULA_62___0">#N/A</definedName>
    <definedName name="SHARED_FORMULA_62___0___0">#N/A</definedName>
    <definedName name="SHARED_FORMULA_62___0___0___0">#N/A</definedName>
    <definedName name="SHARED_FORMULA_63">#N/A</definedName>
    <definedName name="SHARED_FORMULA_63___0">#N/A</definedName>
    <definedName name="SHARED_FORMULA_63___0___0">#N/A</definedName>
    <definedName name="SHARED_FORMULA_63___0___0___0">#N/A</definedName>
    <definedName name="SHARED_FORMULA_64">#N/A</definedName>
    <definedName name="SHARED_FORMULA_64___0">#N/A</definedName>
    <definedName name="SHARED_FORMULA_64___0___0">NA()</definedName>
    <definedName name="SHARED_FORMULA_64___0___0___0">#N/A</definedName>
    <definedName name="SHARED_FORMULA_65">#N/A</definedName>
    <definedName name="SHARED_FORMULA_65___0">#N/A</definedName>
    <definedName name="SHARED_FORMULA_65___0___0">NA()</definedName>
    <definedName name="SHARED_FORMULA_65___0___0___0">#N/A</definedName>
    <definedName name="SHARED_FORMULA_66">#N/A</definedName>
    <definedName name="SHARED_FORMULA_66___0">#N/A</definedName>
    <definedName name="SHARED_FORMULA_66___0___0">#N/A</definedName>
    <definedName name="SHARED_FORMULA_66___0___0___0">#N/A</definedName>
    <definedName name="SHARED_FORMULA_67">#N/A</definedName>
    <definedName name="SHARED_FORMULA_67___0">#N/A</definedName>
    <definedName name="SHARED_FORMULA_67___0___0">#N/A</definedName>
    <definedName name="SHARED_FORMULA_67___0___0___0">#N/A</definedName>
    <definedName name="SHARED_FORMULA_68">#N/A</definedName>
    <definedName name="SHARED_FORMULA_68___0">#N/A</definedName>
    <definedName name="SHARED_FORMULA_68___0___0">#N/A</definedName>
    <definedName name="SHARED_FORMULA_68___0___0___0">NA()</definedName>
    <definedName name="SHARED_FORMULA_69">#N/A</definedName>
    <definedName name="SHARED_FORMULA_69___0">#N/A</definedName>
    <definedName name="SHARED_FORMULA_69___0___0">#N/A</definedName>
    <definedName name="SHARED_FORMULA_69___0___0___0">NA()</definedName>
    <definedName name="SHARED_FORMULA_7">#N/A</definedName>
    <definedName name="SHARED_FORMULA_7___0">#N/A</definedName>
    <definedName name="SHARED_FORMULA_7___0___0">#N/A</definedName>
    <definedName name="SHARED_FORMULA_7___0___0___0">#N/A</definedName>
    <definedName name="SHARED_FORMULA_70">#N/A</definedName>
    <definedName name="SHARED_FORMULA_70___0">#N/A</definedName>
    <definedName name="SHARED_FORMULA_70___0___0">NA()</definedName>
    <definedName name="SHARED_FORMULA_70___0___0___0">#N/A</definedName>
    <definedName name="SHARED_FORMULA_71">#N/A</definedName>
    <definedName name="SHARED_FORMULA_71___0">#N/A</definedName>
    <definedName name="SHARED_FORMULA_71___0___0">NA()</definedName>
    <definedName name="SHARED_FORMULA_71___0___0___0">#N/A</definedName>
    <definedName name="SHARED_FORMULA_72">#N/A</definedName>
    <definedName name="SHARED_FORMULA_72___0">#N/A</definedName>
    <definedName name="SHARED_FORMULA_72___0___0">#N/A</definedName>
    <definedName name="SHARED_FORMULA_72___0___0___0">#N/A</definedName>
    <definedName name="SHARED_FORMULA_73">#N/A</definedName>
    <definedName name="SHARED_FORMULA_73___0">#N/A</definedName>
    <definedName name="SHARED_FORMULA_73___0___0">#N/A</definedName>
    <definedName name="SHARED_FORMULA_73___0___0___0">NA()</definedName>
    <definedName name="SHARED_FORMULA_74">#N/A</definedName>
    <definedName name="SHARED_FORMULA_74___0">#N/A</definedName>
    <definedName name="SHARED_FORMULA_74___0___0">#N/A</definedName>
    <definedName name="SHARED_FORMULA_74___0___0___0">#N/A</definedName>
    <definedName name="SHARED_FORMULA_75">#N/A</definedName>
    <definedName name="SHARED_FORMULA_75___0">#N/A</definedName>
    <definedName name="SHARED_FORMULA_75___0___0">NA()</definedName>
    <definedName name="SHARED_FORMULA_75___0___0___0">#N/A</definedName>
    <definedName name="SHARED_FORMULA_76">DATE(91,6,1)</definedName>
    <definedName name="SHARED_FORMULA_76___0">#N/A</definedName>
    <definedName name="SHARED_FORMULA_76___0___0">NA()</definedName>
    <definedName name="SHARED_FORMULA_76___0___0___0">DATE(91,6,1)</definedName>
    <definedName name="SHARED_FORMULA_77">#N/A</definedName>
    <definedName name="SHARED_FORMULA_77___0">#N/A</definedName>
    <definedName name="SHARED_FORMULA_77___0___0">#N/A</definedName>
    <definedName name="SHARED_FORMULA_77___0___0___0">#N/A</definedName>
    <definedName name="SHARED_FORMULA_78">DATE(91,6,1)</definedName>
    <definedName name="SHARED_FORMULA_78___0">#N/A</definedName>
    <definedName name="SHARED_FORMULA_78___0___0">#N/A</definedName>
    <definedName name="SHARED_FORMULA_78___0___0___0">#N/A</definedName>
    <definedName name="SHARED_FORMULA_79">#N/A</definedName>
    <definedName name="SHARED_FORMULA_79___0">DATE(91,6,1)</definedName>
    <definedName name="SHARED_FORMULA_79___0___0">DATE(91,6,1)</definedName>
    <definedName name="SHARED_FORMULA_79___0___0___0">#N/A</definedName>
    <definedName name="SHARED_FORMULA_8">#N/A</definedName>
    <definedName name="SHARED_FORMULA_8___0">#N/A</definedName>
    <definedName name="SHARED_FORMULA_8___0___0">#N/A</definedName>
    <definedName name="SHARED_FORMULA_8___0___0___0">#N/A</definedName>
    <definedName name="SHARED_FORMULA_80">#N/A</definedName>
    <definedName name="SHARED_FORMULA_80___0">#N/A</definedName>
    <definedName name="SHARED_FORMULA_80___0___0">#N/A</definedName>
    <definedName name="SHARED_FORMULA_80___0___0___0">DATE(91,6,1)</definedName>
    <definedName name="SHARED_FORMULA_81">#N/A</definedName>
    <definedName name="SHARED_FORMULA_81___0">#N/A</definedName>
    <definedName name="SHARED_FORMULA_81___0___0">#N/A</definedName>
    <definedName name="SHARED_FORMULA_81___0___0___0">#N/A</definedName>
    <definedName name="SHARED_FORMULA_82">#N/A</definedName>
    <definedName name="SHARED_FORMULA_82___0">#N/A</definedName>
    <definedName name="SHARED_FORMULA_82___0___0">#N/A</definedName>
    <definedName name="SHARED_FORMULA_82___0___0___0">#N/A</definedName>
    <definedName name="SHARED_FORMULA_83">#N/A</definedName>
    <definedName name="SHARED_FORMULA_83___0">DATE(91,6,1)</definedName>
    <definedName name="SHARED_FORMULA_83___0___0">DATE(91,6,1)</definedName>
    <definedName name="SHARED_FORMULA_83___0___0___0">#N/A</definedName>
    <definedName name="SHARED_FORMULA_84">#N/A</definedName>
    <definedName name="SHARED_FORMULA_84___0">#N/A</definedName>
    <definedName name="SHARED_FORMULA_84___0___0">#N/A</definedName>
    <definedName name="SHARED_FORMULA_84___0___0___0">#N/A</definedName>
    <definedName name="SHARED_FORMULA_85">#N/A</definedName>
    <definedName name="SHARED_FORMULA_85___0">#N/A</definedName>
    <definedName name="SHARED_FORMULA_85___0___0">#N/A</definedName>
    <definedName name="SHARED_FORMULA_85___0___0___0">#N/A</definedName>
    <definedName name="SHARED_FORMULA_86">#N/A</definedName>
    <definedName name="SHARED_FORMULA_86___0">#N/A</definedName>
    <definedName name="SHARED_FORMULA_86___0___0">#N/A</definedName>
    <definedName name="SHARED_FORMULA_86___0___0___0">#N/A</definedName>
    <definedName name="SHARED_FORMULA_86___0___0___0___0">#N/A</definedName>
    <definedName name="SHARED_FORMULA_87">#N/A</definedName>
    <definedName name="SHARED_FORMULA_87___0">#N/A</definedName>
    <definedName name="SHARED_FORMULA_87___0___0">#N/A</definedName>
    <definedName name="SHARED_FORMULA_87___0___0___0">#N/A</definedName>
    <definedName name="SHARED_FORMULA_88">#N/A</definedName>
    <definedName name="SHARED_FORMULA_88___0">#N/A</definedName>
    <definedName name="SHARED_FORMULA_88___0___0">#N/A</definedName>
    <definedName name="SHARED_FORMULA_88___0___0___0">#N/A</definedName>
    <definedName name="SHARED_FORMULA_89">#N/A</definedName>
    <definedName name="SHARED_FORMULA_89___0">#N/A</definedName>
    <definedName name="SHARED_FORMULA_89___0___0">#N/A</definedName>
    <definedName name="SHARED_FORMULA_89___0___0___0">#N/A</definedName>
    <definedName name="SHARED_FORMULA_9">#N/A</definedName>
    <definedName name="SHARED_FORMULA_9___0">DATE(92,8,20)</definedName>
    <definedName name="SHARED_FORMULA_9___0___0">DATE(92,8,20)</definedName>
    <definedName name="SHARED_FORMULA_9___0___0___0">DATE(92,8,20)</definedName>
    <definedName name="SHARED_FORMULA_90">#N/A</definedName>
    <definedName name="SHARED_FORMULA_90___0">#N/A</definedName>
    <definedName name="SHARED_FORMULA_90___0___0">#N/A</definedName>
    <definedName name="SHARED_FORMULA_90___0___0___0">#N/A</definedName>
    <definedName name="SHARED_FORMULA_91">#N/A</definedName>
    <definedName name="SHARED_FORMULA_91___0">#N/A</definedName>
    <definedName name="SHARED_FORMULA_91___0___0">#N/A</definedName>
    <definedName name="SHARED_FORMULA_91___0___0___0">#N/A</definedName>
    <definedName name="SHARED_FORMULA_92">#N/A</definedName>
    <definedName name="SHARED_FORMULA_92___0">#N/A</definedName>
    <definedName name="SHARED_FORMULA_92___0___0">#N/A</definedName>
    <definedName name="SHARED_FORMULA_92___0___0___0">#N/A</definedName>
    <definedName name="SHARED_FORMULA_93">#N/A</definedName>
    <definedName name="SHARED_FORMULA_93___0">#N/A</definedName>
    <definedName name="SHARED_FORMULA_93___0___0">#N/A</definedName>
    <definedName name="SHARED_FORMULA_93___0___0___0">#N/A</definedName>
    <definedName name="SHARED_FORMULA_93___0___0___0___0">#N/A</definedName>
    <definedName name="SHARED_FORMULA_94">#N/A</definedName>
    <definedName name="SHARED_FORMULA_94___0">#N/A</definedName>
    <definedName name="SHARED_FORMULA_94___0___0">#N/A</definedName>
    <definedName name="SHARED_FORMULA_94___0___0___0">#N/A</definedName>
    <definedName name="SHARED_FORMULA_95">#N/A</definedName>
    <definedName name="SHARED_FORMULA_95___0">#N/A</definedName>
    <definedName name="SHARED_FORMULA_95___0___0">#N/A</definedName>
    <definedName name="SHARED_FORMULA_95___0___0___0">NA()</definedName>
    <definedName name="SHARED_FORMULA_96">#N/A</definedName>
    <definedName name="SHARED_FORMULA_96___0">#N/A</definedName>
    <definedName name="SHARED_FORMULA_96___0___0">NA()</definedName>
    <definedName name="SHARED_FORMULA_96___0___0___0">NA()</definedName>
    <definedName name="SHARED_FORMULA_97">#N/A</definedName>
    <definedName name="SHARED_FORMULA_97___0">#N/A</definedName>
    <definedName name="SHARED_FORMULA_97___0___0">NA()</definedName>
    <definedName name="SHARED_FORMULA_97___0___0___0">#N/A</definedName>
    <definedName name="SHARED_FORMULA_98">#N/A</definedName>
    <definedName name="SHARED_FORMULA_98___0">#N/A</definedName>
    <definedName name="SHARED_FORMULA_98___0___0">#N/A</definedName>
    <definedName name="SHARED_FORMULA_98___0___0___0">#N/A</definedName>
    <definedName name="SHARED_FORMULA_99">#N/A</definedName>
    <definedName name="SHARED_FORMULA_99___0">#N/A</definedName>
    <definedName name="SHARED_FORMULA_99___0___0">#N/A</definedName>
    <definedName name="SHARED_FORMULA_99___0___0___0">#N/A</definedName>
    <definedName name="SharedRentSE">#REF!</definedName>
    <definedName name="shh">#REF!</definedName>
    <definedName name="SHORT_NAME">#REF!</definedName>
    <definedName name="SIM_MARGIN">#REF!</definedName>
    <definedName name="siraj">#REF!</definedName>
    <definedName name="smu">#REF!</definedName>
    <definedName name="Solar2" localSheetId="4">word</definedName>
    <definedName name="Solar2">word</definedName>
    <definedName name="solver_adj" hidden="1">#REF!</definedName>
    <definedName name="solver_adj1" hidden="1">#REF!</definedName>
    <definedName name="solver_lin" hidden="1">0</definedName>
    <definedName name="solver_num" hidden="1">0</definedName>
    <definedName name="solver_opt" hidden="1">#REF!</definedName>
    <definedName name="solver_opt1" hidden="1">#REF!</definedName>
    <definedName name="solver_typ" hidden="1">3</definedName>
    <definedName name="solver_val" hidden="1">0.6</definedName>
    <definedName name="SOP_Planning_Scope">" "</definedName>
    <definedName name="Sortierreihenfolge_1">#REF!</definedName>
    <definedName name="Source_Master">#REF!</definedName>
    <definedName name="Sp" hidden="1">{#N/A,#N/A,FALSE,"Assessment";#N/A,#N/A,FALSE,"Staffing";#N/A,#N/A,FALSE,"Hires";#N/A,#N/A,FALSE,"Assumptions"}</definedName>
    <definedName name="SS" hidden="1">{#N/A,#N/A,FALSE,"dec98qtr";#N/A,#N/A,FALSE,"suppdecsep98";#N/A,#N/A,FALSE,"w-dec98"}</definedName>
    <definedName name="StaffBenefits">#REF!</definedName>
    <definedName name="StaffExp_Other">#REF!</definedName>
    <definedName name="StaffExp_Renewal">#REF!</definedName>
    <definedName name="StaffExp_Welfare">#REF!</definedName>
    <definedName name="StaffExpenses">#REF!</definedName>
    <definedName name="StaffIncenitve_StorePLA">#REF!</definedName>
    <definedName name="StaffIncentive_StoreIncentive">#REF!</definedName>
    <definedName name="StaffIncentive_VHIncentive">#REF!</definedName>
    <definedName name="StaffIncentive_VHPLA">#REF!</definedName>
    <definedName name="staffing">#REF!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SalesIncentives">#REF!</definedName>
    <definedName name="StoreRent">#REF!</definedName>
    <definedName name="StoreRentExisting">#REF!</definedName>
    <definedName name="StoreRentNew">#REF!</definedName>
    <definedName name="SUBREQUEST_ID">#REF!</definedName>
    <definedName name="sumcomp">#REF!</definedName>
    <definedName name="SupportPerExecutive">#REF!</definedName>
    <definedName name="SupportPerManager">#REF!</definedName>
    <definedName name="SupportPerSalesman">#REF!</definedName>
    <definedName name="sw_acc_perc_loc">#REF!</definedName>
    <definedName name="TarCurr">#REF!</definedName>
    <definedName name="TarrifCurrency">#REF!</definedName>
    <definedName name="TarrifRealNom">#REF!</definedName>
    <definedName name="Tax_rate">#REF!</definedName>
    <definedName name="TaxTV">10%</definedName>
    <definedName name="TaxXL">5%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rm">#REF!</definedName>
    <definedName name="Terminberechnung">IF(#REF!="","",IF(TEXT(#REF!+(#REF!-#REF!),"ttt")="So",#REF!+(#REF!-#REF!)+1,IF(TEXT(#REF!+(#REF!-#REF!),"ttt")="Sa",#REF!+(#REF!-#REF!)+2,#REF!+(#REF!-#REF!))))</definedName>
    <definedName name="terms">#REF!</definedName>
    <definedName name="test">#REF!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xtRefCopy12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3">#REF!</definedName>
    <definedName name="TextRefCopyRangeCount" hidden="1">1</definedName>
    <definedName name="threerev">#REF!</definedName>
    <definedName name="To_whom">#REF!</definedName>
    <definedName name="tools">#REF!</definedName>
    <definedName name="TOTAL_COGS">#REF!</definedName>
    <definedName name="Total_Data_Customers">#REF!</definedName>
    <definedName name="Total_Interconnect_Expense">#REF!</definedName>
    <definedName name="Total_Large_Company_Voice_Customers">#REF!</definedName>
    <definedName name="Total_Medium_Company_Voice_Customers">#REF!</definedName>
    <definedName name="Total_Residential_Voice_Customers">#REF!</definedName>
    <definedName name="Total_Small_Company_Voice_Customers">#REF!</definedName>
    <definedName name="TradeLicenceExisting">#REF!</definedName>
    <definedName name="TradeLicenceNew">#REF!</definedName>
    <definedName name="TradeLicenceSE">#REF!</definedName>
    <definedName name="TrafficForecastExportArea">#REF!</definedName>
    <definedName name="training_cost">#REF!</definedName>
    <definedName name="tss" hidden="1">{#N/A,#N/A,TRUE,"ProFormaProfit";#N/A,#N/A,TRUE,"ProFormaCash";#N/A,#N/A,TRUE,"Depreciation";#N/A,#N/A,TRUE,"Assets";#N/A,#N/A,TRUE,"Revenue";#N/A,#N/A,TRUE,"EstimatedPurchase"}</definedName>
    <definedName name="ttt" hidden="1">{#N/A,#N/A,FALSE,"summ";#N/A,#N/A,FALSE,"q1";#N/A,#N/A,FALSE,"summ_alt";#N/A,#N/A,FALSE,"stock_nozero";#N/A,#N/A,FALSE,"1995"}</definedName>
    <definedName name="tut" hidden="1">{#N/A,#N/A,TRUE,"ProFormaProfit";#N/A,#N/A,TRUE,"ProFormaCash";#N/A,#N/A,TRUE,"Depreciation";#N/A,#N/A,TRUE,"Assets";#N/A,#N/A,TRUE,"Revenue";#N/A,#N/A,TRUE,"EstimatedPurchase"}</definedName>
    <definedName name="ui" hidden="1">27</definedName>
    <definedName name="UL">#REF!</definedName>
    <definedName name="ULRV">#REF!</definedName>
    <definedName name="undo" hidden="1">{"SUNCOM",#N/A,FALSE,"Stampa";"SUN6GG",#N/A,FALSE,"Stampa";"SUNLUN",#N/A,FALSE,"Stampa";"SUN3DS",#N/A,FALSE,"Stampa";"SUNSYS",#N/A,FALSE,"Stampa";"SUNCLG",#N/A,FALSE,"Stampa"}</definedName>
    <definedName name="Update">#REF!</definedName>
    <definedName name="Updated">#REF!</definedName>
    <definedName name="updateddate">#REF!</definedName>
    <definedName name="UsageStart">#REF!</definedName>
    <definedName name="USS">#REF!</definedName>
    <definedName name="Utilities_ChilledWater">#REF!</definedName>
    <definedName name="Utilities_Electricity">#REF!</definedName>
    <definedName name="Utilities_Shared">#REF!</definedName>
    <definedName name="UtilityAndOtherGeneralExp">#REF!</definedName>
    <definedName name="valuevx">42.314159</definedName>
    <definedName name="vat">#REF!</definedName>
    <definedName name="VehicleMaintenance">#REF!</definedName>
    <definedName name="VIPEN">#REF!</definedName>
    <definedName name="VIPEN1">#REF!</definedName>
    <definedName name="vipen2">#REF!</definedName>
    <definedName name="w" hidden="1">#REF!</definedName>
    <definedName name="warrants">#REF!</definedName>
    <definedName name="WORKINGSALL">#REF!</definedName>
    <definedName name="wrn.2._.pagers." hidden="1">{"Cover",#N/A,FALSE,"Cover";"Summary",#N/A,FALSE,"Summarpage"}</definedName>
    <definedName name="wrn.3." hidden="1">{#N/A,#N/A,FALSE,"dec98qtr";#N/A,#N/A,FALSE,"suppdecsep98";#N/A,#N/A,FALSE,"w-dec98"}</definedName>
    <definedName name="wrn.96_model." hidden="1">{"qtr_is_94_95",#N/A,FALSE,"MA";"ann_is_96",#N/A,FALSE,"MA";"seg_sales_96",#N/A,FALSE,"MA";"seg_inc_96",#N/A,FALSE,"MA";"divisional_91_95",#N/A,FALSE,"MA";"ann_bs_96",#N/A,FALSE,"MA";"ann_cf_96",#N/A,FALSE,"MA"}</definedName>
    <definedName name="wrn.Accounts." hidden="1">{"turnover",#N/A,FALSE;"profits",#N/A,FALSE;"cash",#N/A,FALSE}</definedName>
    <definedName name="wrn.ALL." hidden="1">{#N/A,#N/A,FALSE,"ASSUMPTIONS";#N/A,#N/A,FALSE,"Valuation Summary";"page1",#N/A,FALSE,"PRESENTATION";"page2",#N/A,FALSE,"PRESENTATION";#N/A,#N/A,FALSE,"ORIGINAL_ROLLBACK"}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pages." hidden="1">{#N/A,#N/A,TRUE,"Historicals";#N/A,#N/A,TRUE,"Charts";#N/A,#N/A,TRUE,"Forecasts"}</definedName>
    <definedName name="wrn.Back._.Page." hidden="1">{"Back Page",#N/A,FALSE,"Front and Back"}</definedName>
    <definedName name="wrn.CHART." hidden="1">{"CHART",#N/A,FALSE,"Arch Communications"}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DAILY." hidden="1">{"DET6GG1TRIM",#N/A,FALSE,"Stampa";"DET6GG2TRIM",#N/A,FALSE,"Stampa";"DET6GG3TRIM",#N/A,FALSE,"Stampa";"DET6GG4TRIM",#N/A,FALSE,"Stampa";"DETLUN1TRIM",#N/A,FALSE,"Stampa";"DETLUN2TRIM",#N/A,FALSE,"Stampa";"DETLUN3TRIM",#N/A,FALSE,"Stampa";"DETLUN4TRIM",#N/A,FALSE,"Stampa";"DET3DS1TRIM",#N/A,FALSE,"Stampa";"DET3DS2TRIM",#N/A,FALSE,"Stampa";"DET3DS3TRIM",#N/A,FALSE,"Stampa";"DET3DS4TRIM",#N/A,FALSE,"Stampa";"DETCLG1TRIM",#N/A,FALSE,"Stampa";"DETCLG2TRIM",#N/A,FALSE,"Stampa";"DETCLG3TRIM",#N/A,FALSE,"Stampa";"DETCLG4TRIM",#N/A,FALSE,"Stampa";"DETSYS1TRIM",#N/A,FALSE,"Stampa";"DETSYS2TRIM",#N/A,FALSE,"Stampa";"DETSYS3TRIM",#N/A,FALSE,"Stampa";"DETSYS4TRIM",#N/A,FALSE,"Stampa";"DETTOT1TRIM",#N/A,FALSE,"Stampa";"DETTOT2TRIM",#N/A,FALSE,"Stampa";"DETTOT3TRIM",#N/A,FALSE,"Stampa";"DETTOT4TRIM",#N/A,FALSE,"Stampa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hidden="1">{"P and L Detail Page 1",#N/A,FALSE,"Data";"P and L Detail Page 2",#N/A,FALSE,"Data"}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FCB." hidden="1">{"FCB_ALL",#N/A,FALSE,"FCB"}</definedName>
    <definedName name="wrn.fcb2" hidden="1">{"FCB_ALL",#N/A,FALSE,"FCB"}</definedName>
    <definedName name="wrn.Financial._.Output." hidden="1">{"P and L",#N/A,FALSE,"Financial Output";"Cashflow",#N/A,FALSE,"Financial Output";"Balance Sheet",#N/A,FALSE,"Financial Output"}</definedName>
    <definedName name="wrn.Five._.Year._.Record." hidden="1">{"Five Year Record",#N/A,FALSE,"Front and Back"}</definedName>
    <definedName name="wrn.Freq_Res." hidden="1">{#N/A,#N/A,TRUE,"FR_HC";#N/A,#N/A,TRUE,"FR_REST";#N/A,#N/A,TRUE,"FR_RETA";#N/A,#N/A,TRUE,"FR_TECSOF";#N/A,#N/A,TRUE,"FR_NETTEC";#N/A,#N/A,TRUE,"FR_CLISER"}</definedName>
    <definedName name="wrn.Front._.Page." hidden="1">{"Front Page",#N/A,FALSE,"Front and Back"}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Z_REP." hidden="1">{"FUZ_INC_A",#N/A,FALSE,"NOBE";"FUZ_INC_Q",#N/A,FALSE,"NOBE";"FUZ_BAL_A",#N/A,FALSE,"NOBE";"FUZ_CASH_A",#N/A,FALSE,"NOBE";"FUZ_PROD_A",#N/A,FALSE,"NOBE"}</definedName>
    <definedName name="wrn.fuz_report." hidden="1">{"fuz_inc_a",#N/A,FALSE,"BKS";"fuz_inc_q",#N/A,FALSE,"BKS";"fuz_bal_a",#N/A,FALSE,"BKS";"fuz_cash_a",#N/A,FALSE,"BKS";"fuz_prod_a",#N/A,FALSE,"BKS";"fuz_div_a",#N/A,FALSE,"BKS";"fuz_div2_a",#N/A,FALSE,"BKS"}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EER_report." hidden="1">{#N/A,#N/A,FALSE,"Table_Ass.";#N/A,#N/A,FALSE,"# of cust";#N/A,#N/A,FALSE,"Res_Report";#N/A,#N/A,FALSE,"Income Statement";"Qtr Cust",#N/A,FALSE,"Qtrly Proj"}</definedName>
    <definedName name="wrn.Geographic._.Trends." hidden="1">{"Geographic P1",#N/A,FALSE,"Division &amp; Geog"}</definedName>
    <definedName name="wrn.gth." hidden="1">{#N/A,#N/A,FALSE,"Title Page";#N/A,#N/A,FALSE,"Summary Sheet"}</definedName>
    <definedName name="wrn.Hanif." hidden="1">{"MSS",#N/A,FALSE,"MSS";"ProdSA",#N/A,FALSE,"ProdSA";"Sales 1",#N/A,FALSE,"SALES";"Transfer 1",#N/A,FALSE,"TRANSFERS"}</definedName>
    <definedName name="wrn.income._.statement." hidden="1">{"income statement",#N/A,FALSE,"ATLAS-A"}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Master." hidden="1">{#N/A,#N/A,TRUE,"ProFormaProfit";#N/A,#N/A,TRUE,"ProFormaCash";#N/A,#N/A,TRUE,"Depreciation";#N/A,#N/A,TRUE,"Assets";#N/A,#N/A,TRUE,"Revenue";#N/A,#N/A,TRUE,"EstimatedPurchase"}</definedName>
    <definedName name="wrn.MOBIL." hidden="1">{"quarter",#N/A,FALSE,"MOB"}</definedName>
    <definedName name="wrn.Mohsin." hidden="1">{"Sales 2",#N/A,FALSE,"SALES";"Transfer 2",#N/A,FALSE,"TRANSFERS";"A1460",#N/A,FALSE,"A1460"}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.All.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out." hidden="1">{"page1",#N/A,FALSE,"Casual RLE";"page2",#N/A,FALSE,"Casual RLE"}</definedName>
    <definedName name="wrn.Pulp." hidden="1">{"Pulp Production",#N/A,FALSE,"Pulp";"Pulp Earnings",#N/A,FALSE,"Pulp"}</definedName>
    <definedName name="wrn.Q._.Report." hidden="1">{"Quarterly Earnings",#N/A,FALSE,"FTS";"Quarterly Margins",#N/A,FALSE,"FTS";"Q Sales",#N/A,FALSE,"FTS";"Q EBIT",#N/A,FALSE,"FTS";"Unit Analysis",#N/A,FALSE,"FTS";"Inventory Analysis",#N/A,FALSE,"FTS"}</definedName>
    <definedName name="wrn.Report1." hidden="1">{#N/A,#N/A,FALSE,"IS";#N/A,#N/A,FALSE,"BS";#N/A,#N/A,FALSE,"CF";#N/A,#N/A,FALSE,"CE";#N/A,#N/A,FALSE,"Depr";#N/A,#N/A,FALSE,"APAL"}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taffing.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ND_ALONE_BOTH." hidden="1">{"FCB_ALL",#N/A,FALSE,"FCB";"GREY_ALL",#N/A,FALSE,"GREY"}</definedName>
    <definedName name="wrn.summ4." hidden="1">{#N/A,#N/A,FALSE,"summ";#N/A,#N/A,FALSE,"q1";#N/A,#N/A,FALSE,"summ_alt";#N/A,#N/A,FALSE,"stock_nozero";#N/A,#N/A,FALSE,"1995"}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NTO." hidden="1">{"SUNCOM",#N/A,FALSE,"Stampa";"SUN6GG",#N/A,FALSE,"Stampa";"SUNLUN",#N/A,FALSE,"Stampa";"SUN3DS",#N/A,FALSE,"Stampa";"SUNSYS",#N/A,FALSE,"Stampa";"SUNCLG",#N/A,FALSE,"Stampa"}</definedName>
    <definedName name="wrnfy97" hidden="1">{#N/A,#N/A,FALSE,"FY97";#N/A,#N/A,FALSE,"FY98";#N/A,#N/A,FALSE,"FY99";#N/A,#N/A,FALSE,"FY00";#N/A,#N/A,FALSE,"FY01"}</definedName>
    <definedName name="wsr" hidden="1">{#N/A,#N/A,FALSE,"Assessment";#N/A,#N/A,FALSE,"Staffing";#N/A,#N/A,FALSE,"Hires";#N/A,#N/A,FALSE,"Assumptions"}</definedName>
    <definedName name="wt" hidden="1">{#N/A,#N/A,FALSE,"FY97";#N/A,#N/A,FALSE,"FY98";#N/A,#N/A,FALSE,"FY99";#N/A,#N/A,FALSE,"FY00";#N/A,#N/A,FALSE,"FY01"}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W" hidden="1">{#N/A,#N/A,FALSE,"dec98qtr";#N/A,#N/A,FALSE,"suppdecsep98";#N/A,#N/A,FALSE,"w-dec98"}</definedName>
    <definedName name="x" hidden="1">{#N/A,#N/A,FALSE,"FY97";#N/A,#N/A,FALSE,"FY98";#N/A,#N/A,FALSE,"FY99";#N/A,#N/A,FALSE,"FY00";#N/A,#N/A,FALSE,"FY01"}</definedName>
    <definedName name="xrate">#REF!</definedName>
    <definedName name="XREF_COLUMN_1" hidden="1">#REF!</definedName>
    <definedName name="XREF_COLUMN_10" hidden="1">#REF!</definedName>
    <definedName name="XREF_COLUMN_12" hidden="1">#REF!</definedName>
    <definedName name="XREF_COLUMN_13" hidden="1">#REF!</definedName>
    <definedName name="XREF_COLUMN_16" hidden="1">#REF!</definedName>
    <definedName name="XREF_COLUMN_17" hidden="1">#REF!</definedName>
    <definedName name="XREF_COLUMN_2" hidden="1">#REF!</definedName>
    <definedName name="XREF_COLUMN_24" hidden="1">#REF!</definedName>
    <definedName name="XREF_COLUMN_25" hidden="1">#REF!</definedName>
    <definedName name="XREF_COLUMN_26" hidden="1">#REF!</definedName>
    <definedName name="XREF_COLUMN_3" hidden="1">#REF!</definedName>
    <definedName name="XREF_COLUMN_31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24</definedName>
    <definedName name="XRefCopy1" hidden="1">#REF!</definedName>
    <definedName name="XRefCopy135Row" hidden="1">#REF!</definedName>
    <definedName name="XRefCopy136Row" hidden="1">#REF!</definedName>
    <definedName name="XRefCopy137Row" hidden="1">#REF!</definedName>
    <definedName name="XRefCopy138Row" hidden="1">#REF!</definedName>
    <definedName name="XRefCopy139" hidden="1">#REF!</definedName>
    <definedName name="XRefCopy139Row" hidden="1">#REF!</definedName>
    <definedName name="XRefCopy140" hidden="1">#REF!</definedName>
    <definedName name="XRefCopy141" hidden="1">#REF!</definedName>
    <definedName name="XRefCopy141Row" hidden="1">#REF!</definedName>
    <definedName name="XRefCopy142Row" hidden="1">#REF!</definedName>
    <definedName name="XRefCopy143Row" hidden="1">#REF!</definedName>
    <definedName name="XRefCopy144Row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Row" hidden="1">#REF!</definedName>
    <definedName name="XRefCopy150Row" hidden="1">#REF!</definedName>
    <definedName name="XRefCopy151Row" hidden="1">#REF!</definedName>
    <definedName name="XRefCopy152Row" hidden="1">#REF!</definedName>
    <definedName name="XRefCopy153Row" hidden="1">#REF!</definedName>
    <definedName name="XRefCopy154Row" hidden="1">#REF!</definedName>
    <definedName name="XRefCopy155Row" hidden="1">#REF!</definedName>
    <definedName name="XRefCopy156Row" hidden="1">#REF!</definedName>
    <definedName name="XRefCopy157Row" hidden="1">#REF!</definedName>
    <definedName name="XRefCopy158Row" hidden="1">#REF!</definedName>
    <definedName name="XRefCopy159Row" hidden="1">#REF!</definedName>
    <definedName name="XRefCopy16" hidden="1">#REF!</definedName>
    <definedName name="XRefCopy160Row" hidden="1">#REF!</definedName>
    <definedName name="XRefCopy161Row" hidden="1">#REF!</definedName>
    <definedName name="XRefCopy162Row" hidden="1">#REF!</definedName>
    <definedName name="XRefCopy163Row" hidden="1">#REF!</definedName>
    <definedName name="XRefCopy164Row" hidden="1">#REF!</definedName>
    <definedName name="XRefCopy165Row" hidden="1">#REF!</definedName>
    <definedName name="XRefCopy166Row" hidden="1">#REF!</definedName>
    <definedName name="XRefCopy167Row" hidden="1">#REF!</definedName>
    <definedName name="XRefCopy168Row" hidden="1">#REF!</definedName>
    <definedName name="XRefCopy169Row" hidden="1">#REF!</definedName>
    <definedName name="XRefCopy17" hidden="1">#REF!</definedName>
    <definedName name="XRefCopy170Row" hidden="1">#REF!</definedName>
    <definedName name="XRefCopy171Row" hidden="1">#REF!</definedName>
    <definedName name="XRefCopy172Row" hidden="1">#REF!</definedName>
    <definedName name="XRefCopy173Row" hidden="1">#REF!</definedName>
    <definedName name="XRefCopy174Row" hidden="1">#REF!</definedName>
    <definedName name="XRefCopy175Row" hidden="1">#REF!</definedName>
    <definedName name="XRefCopy176Row" hidden="1">#REF!</definedName>
    <definedName name="XRefCopy177Row" hidden="1">#REF!</definedName>
    <definedName name="XRefCopy2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8" hidden="1">#REF!</definedName>
    <definedName name="XRefCopy41" hidden="1">#REF!</definedName>
    <definedName name="XRefCopy42" hidden="1">#REF!</definedName>
    <definedName name="XRefCopy43" hidden="1">#REF!</definedName>
    <definedName name="XRefCopy44" hidden="1">#REF!</definedName>
    <definedName name="XRefCopy45" hidden="1">#REF!</definedName>
    <definedName name="XRefCopy46" hidden="1">#REF!</definedName>
    <definedName name="XRefCopy47" hidden="1">#REF!</definedName>
    <definedName name="XRefCopy48" hidden="1">#REF!</definedName>
    <definedName name="XRefCopy49" hidden="1">#REF!</definedName>
    <definedName name="XRefCopy50" hidden="1">#REF!</definedName>
    <definedName name="XRefCopy51" hidden="1">#REF!</definedName>
    <definedName name="XRefCopy52" hidden="1">#REF!</definedName>
    <definedName name="XRefCopy7" hidden="1">#REF!</definedName>
    <definedName name="XRefCopy73" hidden="1">#REF!</definedName>
    <definedName name="XRefCopy75" hidden="1">#REF!</definedName>
    <definedName name="XRefCopy88Row" hidden="1">#REF!</definedName>
    <definedName name="XRefCopyRangeCount" hidden="1">9</definedName>
    <definedName name="XRefPaste10" hidden="1">#REF!</definedName>
    <definedName name="XRefPaste11" hidden="1">#REF!</definedName>
    <definedName name="XRefPaste112" hidden="1">#REF!</definedName>
    <definedName name="XRefPaste112Row" hidden="1">#REF!</definedName>
    <definedName name="XRefPaste12" hidden="1">#REF!</definedName>
    <definedName name="XRefPaste13" hidden="1">#REF!</definedName>
    <definedName name="XRefPaste14" hidden="1">#REF!</definedName>
    <definedName name="XRefPaste15" hidden="1">#REF!</definedName>
    <definedName name="XRefPaste2" hidden="1">#REF!</definedName>
    <definedName name="XRefPaste21" hidden="1">#REF!</definedName>
    <definedName name="XRefPaste22" hidden="1">#REF!</definedName>
    <definedName name="XRefPaste22Row" hidden="1">#REF!</definedName>
    <definedName name="XRefPaste23" hidden="1">#REF!</definedName>
    <definedName name="XRefPaste24" hidden="1">#REF!</definedName>
    <definedName name="XRefPaste32" hidden="1">#REF!</definedName>
    <definedName name="XRefPaste33" hidden="1">#REF!</definedName>
    <definedName name="XRefPaste34" hidden="1">#REF!</definedName>
    <definedName name="XRefPaste35" hidden="1">#REF!</definedName>
    <definedName name="XRefPaste36" hidden="1">#REF!</definedName>
    <definedName name="XRefPaste37" hidden="1">#REF!</definedName>
    <definedName name="XRefPaste38" hidden="1">#REF!</definedName>
    <definedName name="XRefPaste39" hidden="1">#REF!</definedName>
    <definedName name="XRefPaste40" hidden="1">#REF!</definedName>
    <definedName name="XRefPaste41" hidden="1">#REF!</definedName>
    <definedName name="XRefPaste60" hidden="1">#REF!</definedName>
    <definedName name="XRefPaste62" hidden="1">#REF!</definedName>
    <definedName name="XRefPasteRangeCount" hidden="1">25</definedName>
    <definedName name="Years">#REF!</definedName>
    <definedName name="YES">#REF!</definedName>
    <definedName name="z">{"Annually";"Semi-Annually";"Quarterly";"Bi-Monthly";"Monthly";"Semi-Monthly";"Bi-Weekly"}</definedName>
    <definedName name="ZONAL_BA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5" i="1" l="1"/>
  <c r="D5" i="1"/>
  <c r="U15" i="1"/>
  <c r="U14" i="1"/>
  <c r="U12" i="1"/>
  <c r="U13" i="1" s="1"/>
  <c r="U16" i="1" s="1"/>
  <c r="U11" i="1"/>
  <c r="U10" i="1"/>
  <c r="U9" i="1"/>
  <c r="U8" i="1"/>
  <c r="U7" i="1"/>
  <c r="U6" i="1"/>
  <c r="U4" i="1"/>
  <c r="U3" i="1"/>
  <c r="Q7" i="1"/>
  <c r="B7" i="1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F26" i="15"/>
  <c r="F18" i="15" s="1"/>
  <c r="D26" i="15"/>
  <c r="H23" i="15"/>
  <c r="B18" i="15"/>
  <c r="B19" i="15" s="1"/>
  <c r="B20" i="15" s="1"/>
  <c r="P16" i="15"/>
  <c r="P15" i="15"/>
  <c r="D15" i="15" s="1"/>
  <c r="C15" i="15"/>
  <c r="P14" i="15"/>
  <c r="D14" i="15"/>
  <c r="C14" i="15"/>
  <c r="P13" i="15"/>
  <c r="P12" i="15"/>
  <c r="B12" i="15"/>
  <c r="P11" i="15"/>
  <c r="C11" i="15"/>
  <c r="P10" i="15"/>
  <c r="D10" i="15"/>
  <c r="C10" i="15"/>
  <c r="P9" i="15"/>
  <c r="D9" i="15" s="1"/>
  <c r="C9" i="15"/>
  <c r="P8" i="15"/>
  <c r="D8" i="15" s="1"/>
  <c r="C8" i="15"/>
  <c r="P7" i="15"/>
  <c r="C7" i="15"/>
  <c r="P6" i="15"/>
  <c r="D6" i="15" s="1"/>
  <c r="C6" i="15"/>
  <c r="P5" i="15"/>
  <c r="P4" i="15"/>
  <c r="D4" i="15"/>
  <c r="P3" i="15"/>
  <c r="D3" i="15" s="1"/>
  <c r="L15" i="1"/>
  <c r="L14" i="1"/>
  <c r="L26" i="1"/>
  <c r="L18" i="1" s="1"/>
  <c r="D26" i="1"/>
  <c r="D7" i="14"/>
  <c r="E7" i="14" s="1"/>
  <c r="H7" i="14" s="1"/>
  <c r="E6" i="14"/>
  <c r="H6" i="14" s="1"/>
  <c r="E5" i="14"/>
  <c r="H5" i="14" s="1"/>
  <c r="E4" i="14"/>
  <c r="H4" i="14" s="1"/>
  <c r="V16" i="13"/>
  <c r="V15" i="13"/>
  <c r="V14" i="13"/>
  <c r="V13" i="13"/>
  <c r="V12" i="13"/>
  <c r="V11" i="13"/>
  <c r="V10" i="13"/>
  <c r="V9" i="13"/>
  <c r="V8" i="13"/>
  <c r="V7" i="13"/>
  <c r="V6" i="13"/>
  <c r="V5" i="13"/>
  <c r="V4" i="13"/>
  <c r="V3" i="13"/>
  <c r="N16" i="1"/>
  <c r="N15" i="1"/>
  <c r="D15" i="1" s="1"/>
  <c r="N14" i="1"/>
  <c r="D14" i="1" s="1"/>
  <c r="N13" i="1"/>
  <c r="N12" i="1"/>
  <c r="N11" i="1"/>
  <c r="N10" i="1"/>
  <c r="N9" i="1"/>
  <c r="N8" i="1"/>
  <c r="N7" i="1"/>
  <c r="O7" i="1" s="1"/>
  <c r="N6" i="1"/>
  <c r="N5" i="1"/>
  <c r="N4" i="1"/>
  <c r="N3" i="1"/>
  <c r="B12" i="1"/>
  <c r="C12" i="1" s="1"/>
  <c r="H23" i="1"/>
  <c r="J23" i="1" s="1"/>
  <c r="J26" i="1" s="1"/>
  <c r="J18" i="1" s="1"/>
  <c r="H26" i="1"/>
  <c r="F26" i="1"/>
  <c r="H18" i="1"/>
  <c r="F18" i="1"/>
  <c r="H19" i="1"/>
  <c r="H20" i="1" s="1"/>
  <c r="F22" i="1"/>
  <c r="B18" i="1"/>
  <c r="B19" i="1" s="1"/>
  <c r="B20" i="1" s="1"/>
  <c r="F25" i="3"/>
  <c r="I24" i="3"/>
  <c r="J24" i="3" s="1"/>
  <c r="F20" i="3"/>
  <c r="I19" i="3"/>
  <c r="J19" i="3" s="1"/>
  <c r="F14" i="3"/>
  <c r="I13" i="3"/>
  <c r="J13" i="3" s="1"/>
  <c r="J10" i="3"/>
  <c r="J9" i="3"/>
  <c r="J8" i="3"/>
  <c r="C15" i="1"/>
  <c r="C14" i="1"/>
  <c r="C11" i="1"/>
  <c r="C10" i="1"/>
  <c r="C9" i="1"/>
  <c r="C8" i="1"/>
  <c r="C7" i="1"/>
  <c r="C6" i="1"/>
  <c r="E20" i="2"/>
  <c r="H19" i="2"/>
  <c r="I19" i="2" s="1"/>
  <c r="E15" i="2"/>
  <c r="H14" i="2"/>
  <c r="I14" i="2" s="1"/>
  <c r="E9" i="2"/>
  <c r="H8" i="2"/>
  <c r="I8" i="2"/>
  <c r="I4" i="2"/>
  <c r="I5" i="2"/>
  <c r="I3" i="2"/>
  <c r="D11" i="1" l="1"/>
  <c r="L11" i="1"/>
  <c r="D10" i="1"/>
  <c r="L10" i="1"/>
  <c r="D9" i="1"/>
  <c r="L9" i="1"/>
  <c r="D8" i="1"/>
  <c r="L8" i="1"/>
  <c r="D6" i="1"/>
  <c r="L6" i="1"/>
  <c r="D4" i="1"/>
  <c r="L4" i="1"/>
  <c r="D3" i="1"/>
  <c r="L3" i="1"/>
  <c r="H7" i="1"/>
  <c r="D11" i="15"/>
  <c r="E4" i="15"/>
  <c r="Q7" i="15"/>
  <c r="D7" i="15" s="1"/>
  <c r="F7" i="15"/>
  <c r="H26" i="15"/>
  <c r="H18" i="15" s="1"/>
  <c r="J23" i="15"/>
  <c r="F22" i="15"/>
  <c r="F19" i="15"/>
  <c r="F20" i="15" s="1"/>
  <c r="E15" i="15"/>
  <c r="F15" i="15"/>
  <c r="E14" i="15"/>
  <c r="F14" i="15"/>
  <c r="B13" i="15"/>
  <c r="C12" i="15"/>
  <c r="F11" i="15"/>
  <c r="E11" i="15"/>
  <c r="F10" i="15"/>
  <c r="E10" i="15"/>
  <c r="F9" i="15"/>
  <c r="E9" i="15"/>
  <c r="F8" i="15"/>
  <c r="E8" i="15"/>
  <c r="F6" i="15"/>
  <c r="E6" i="15"/>
  <c r="F3" i="15"/>
  <c r="G7" i="15" s="1"/>
  <c r="D5" i="15"/>
  <c r="E3" i="15"/>
  <c r="M15" i="1"/>
  <c r="M14" i="1"/>
  <c r="M11" i="1"/>
  <c r="M9" i="1"/>
  <c r="M8" i="1"/>
  <c r="M6" i="1"/>
  <c r="M10" i="1"/>
  <c r="L19" i="1"/>
  <c r="L20" i="1" s="1"/>
  <c r="L22" i="1"/>
  <c r="M4" i="1"/>
  <c r="M3" i="1"/>
  <c r="J19" i="1"/>
  <c r="J20" i="1" s="1"/>
  <c r="J21" i="1"/>
  <c r="J22" i="1"/>
  <c r="J7" i="1"/>
  <c r="P7" i="1"/>
  <c r="F7" i="1"/>
  <c r="F15" i="1"/>
  <c r="E15" i="1"/>
  <c r="F14" i="1"/>
  <c r="E14" i="1"/>
  <c r="F11" i="1"/>
  <c r="E11" i="1"/>
  <c r="F10" i="1"/>
  <c r="E10" i="1"/>
  <c r="F9" i="1"/>
  <c r="E9" i="1"/>
  <c r="F8" i="1"/>
  <c r="E8" i="1"/>
  <c r="F6" i="1"/>
  <c r="E6" i="1"/>
  <c r="E3" i="1"/>
  <c r="F19" i="1"/>
  <c r="F20" i="1" s="1"/>
  <c r="H9" i="2"/>
  <c r="I9" i="2" s="1"/>
  <c r="E10" i="2"/>
  <c r="H10" i="2" s="1"/>
  <c r="I10" i="2" s="1"/>
  <c r="H21" i="1"/>
  <c r="H11" i="1"/>
  <c r="J11" i="1" s="1"/>
  <c r="H10" i="1"/>
  <c r="J10" i="1" s="1"/>
  <c r="H9" i="1"/>
  <c r="J9" i="1" s="1"/>
  <c r="H8" i="1"/>
  <c r="J8" i="1" s="1"/>
  <c r="H6" i="1"/>
  <c r="J6" i="1" s="1"/>
  <c r="E4" i="1"/>
  <c r="E5" i="1"/>
  <c r="B13" i="1"/>
  <c r="F12" i="1"/>
  <c r="F26" i="3"/>
  <c r="I26" i="3" s="1"/>
  <c r="J26" i="3" s="1"/>
  <c r="I25" i="3"/>
  <c r="J25" i="3" s="1"/>
  <c r="F21" i="3"/>
  <c r="I21" i="3" s="1"/>
  <c r="J21" i="3" s="1"/>
  <c r="I20" i="3"/>
  <c r="J20" i="3" s="1"/>
  <c r="F15" i="3"/>
  <c r="I15" i="3" s="1"/>
  <c r="J15" i="3" s="1"/>
  <c r="I14" i="3"/>
  <c r="J14" i="3" s="1"/>
  <c r="E21" i="2"/>
  <c r="H21" i="2" s="1"/>
  <c r="I21" i="2" s="1"/>
  <c r="H20" i="2"/>
  <c r="I20" i="2" s="1"/>
  <c r="E16" i="2"/>
  <c r="H16" i="2" s="1"/>
  <c r="I16" i="2" s="1"/>
  <c r="H15" i="2"/>
  <c r="I15" i="2" s="1"/>
  <c r="F3" i="1" l="1"/>
  <c r="L5" i="1"/>
  <c r="D7" i="1"/>
  <c r="L7" i="1"/>
  <c r="J12" i="1"/>
  <c r="J26" i="15"/>
  <c r="J18" i="15" s="1"/>
  <c r="L23" i="15"/>
  <c r="G15" i="15"/>
  <c r="G14" i="15"/>
  <c r="D18" i="15"/>
  <c r="E7" i="15"/>
  <c r="D12" i="15"/>
  <c r="H19" i="15"/>
  <c r="H20" i="15" s="1"/>
  <c r="H21" i="15"/>
  <c r="H22" i="15"/>
  <c r="H7" i="15"/>
  <c r="J19" i="15"/>
  <c r="J20" i="15" s="1"/>
  <c r="J21" i="15"/>
  <c r="J22" i="15"/>
  <c r="J7" i="15"/>
  <c r="C13" i="15"/>
  <c r="B16" i="15"/>
  <c r="C16" i="15" s="1"/>
  <c r="G11" i="15"/>
  <c r="H11" i="15"/>
  <c r="H10" i="15"/>
  <c r="G10" i="15"/>
  <c r="H9" i="15"/>
  <c r="G9" i="15"/>
  <c r="H8" i="15"/>
  <c r="G8" i="15"/>
  <c r="H6" i="15"/>
  <c r="G6" i="15"/>
  <c r="F12" i="15"/>
  <c r="G12" i="15" s="1"/>
  <c r="G3" i="15"/>
  <c r="H3" i="15"/>
  <c r="F4" i="15"/>
  <c r="G4" i="15" s="1"/>
  <c r="F5" i="15"/>
  <c r="E5" i="15"/>
  <c r="M7" i="1"/>
  <c r="L12" i="1"/>
  <c r="M5" i="1"/>
  <c r="G15" i="1"/>
  <c r="G14" i="1"/>
  <c r="G3" i="1"/>
  <c r="C13" i="1"/>
  <c r="B16" i="1"/>
  <c r="C16" i="1" s="1"/>
  <c r="G12" i="1"/>
  <c r="G7" i="1" l="1"/>
  <c r="G11" i="1"/>
  <c r="G10" i="1"/>
  <c r="G9" i="1"/>
  <c r="G8" i="1"/>
  <c r="G6" i="1"/>
  <c r="F5" i="1"/>
  <c r="F4" i="1"/>
  <c r="G4" i="1" s="1"/>
  <c r="D12" i="1"/>
  <c r="E7" i="1"/>
  <c r="H3" i="1"/>
  <c r="D18" i="1"/>
  <c r="N23" i="15"/>
  <c r="N26" i="15" s="1"/>
  <c r="N18" i="15" s="1"/>
  <c r="L26" i="15"/>
  <c r="L18" i="15" s="1"/>
  <c r="E12" i="15"/>
  <c r="D13" i="15"/>
  <c r="E13" i="15" s="1"/>
  <c r="F21" i="15"/>
  <c r="D19" i="15"/>
  <c r="J11" i="15"/>
  <c r="L11" i="15" s="1"/>
  <c r="I11" i="15"/>
  <c r="I10" i="15"/>
  <c r="J10" i="15"/>
  <c r="L10" i="15" s="1"/>
  <c r="J9" i="15"/>
  <c r="L9" i="15" s="1"/>
  <c r="I9" i="15"/>
  <c r="I8" i="15"/>
  <c r="J8" i="15"/>
  <c r="L8" i="15" s="1"/>
  <c r="I6" i="15"/>
  <c r="J6" i="15"/>
  <c r="L6" i="15" s="1"/>
  <c r="H12" i="15"/>
  <c r="I12" i="15" s="1"/>
  <c r="I3" i="15"/>
  <c r="J3" i="15"/>
  <c r="L3" i="15" s="1"/>
  <c r="H5" i="15"/>
  <c r="I14" i="15"/>
  <c r="I15" i="15"/>
  <c r="H4" i="15"/>
  <c r="I4" i="15" s="1"/>
  <c r="G5" i="15"/>
  <c r="F13" i="15"/>
  <c r="D16" i="15"/>
  <c r="E16" i="15" s="1"/>
  <c r="I7" i="15"/>
  <c r="M12" i="1"/>
  <c r="L13" i="1"/>
  <c r="G5" i="1" l="1"/>
  <c r="F13" i="1"/>
  <c r="D13" i="1"/>
  <c r="E12" i="1"/>
  <c r="J3" i="1"/>
  <c r="H5" i="1"/>
  <c r="H4" i="1"/>
  <c r="I10" i="1"/>
  <c r="I8" i="1"/>
  <c r="I15" i="1"/>
  <c r="I6" i="1"/>
  <c r="I11" i="1"/>
  <c r="I3" i="1"/>
  <c r="I9" i="1"/>
  <c r="I14" i="1"/>
  <c r="D19" i="1"/>
  <c r="F21" i="1"/>
  <c r="K6" i="1"/>
  <c r="K12" i="1"/>
  <c r="K8" i="1"/>
  <c r="K9" i="1"/>
  <c r="K10" i="1"/>
  <c r="K11" i="1"/>
  <c r="K3" i="1"/>
  <c r="J5" i="1"/>
  <c r="K14" i="1"/>
  <c r="K15" i="1"/>
  <c r="K7" i="1"/>
  <c r="J4" i="1"/>
  <c r="K4" i="1" s="1"/>
  <c r="N7" i="15"/>
  <c r="N22" i="15"/>
  <c r="N21" i="15"/>
  <c r="N19" i="15"/>
  <c r="N20" i="15" s="1"/>
  <c r="L7" i="15"/>
  <c r="L22" i="15"/>
  <c r="L21" i="15"/>
  <c r="L19" i="15"/>
  <c r="L20" i="15" s="1"/>
  <c r="M11" i="15"/>
  <c r="N11" i="15"/>
  <c r="M10" i="15"/>
  <c r="N10" i="15"/>
  <c r="M9" i="15"/>
  <c r="N9" i="15"/>
  <c r="M8" i="15"/>
  <c r="N8" i="15"/>
  <c r="M6" i="15"/>
  <c r="N6" i="15"/>
  <c r="M3" i="15"/>
  <c r="N3" i="15"/>
  <c r="L4" i="15"/>
  <c r="M4" i="15" s="1"/>
  <c r="L5" i="15"/>
  <c r="M5" i="15" s="1"/>
  <c r="M14" i="15"/>
  <c r="M15" i="15"/>
  <c r="D22" i="15"/>
  <c r="D20" i="15"/>
  <c r="K11" i="15"/>
  <c r="K10" i="15"/>
  <c r="K9" i="15"/>
  <c r="K6" i="15"/>
  <c r="J12" i="15"/>
  <c r="K12" i="15" s="1"/>
  <c r="K7" i="15"/>
  <c r="K3" i="15"/>
  <c r="J5" i="15"/>
  <c r="K14" i="15"/>
  <c r="K15" i="15"/>
  <c r="J4" i="15"/>
  <c r="K4" i="15" s="1"/>
  <c r="I5" i="15"/>
  <c r="H13" i="15"/>
  <c r="G13" i="15"/>
  <c r="F16" i="15"/>
  <c r="G16" i="15" s="1"/>
  <c r="K8" i="15"/>
  <c r="L16" i="1"/>
  <c r="M16" i="1" s="1"/>
  <c r="M13" i="1"/>
  <c r="I5" i="1"/>
  <c r="I4" i="1"/>
  <c r="F16" i="1" l="1"/>
  <c r="G13" i="1"/>
  <c r="E13" i="1"/>
  <c r="D16" i="1"/>
  <c r="D22" i="1"/>
  <c r="D20" i="1"/>
  <c r="J13" i="1"/>
  <c r="K5" i="1"/>
  <c r="M7" i="15"/>
  <c r="L12" i="15"/>
  <c r="N12" i="15"/>
  <c r="N4" i="15"/>
  <c r="N5" i="15"/>
  <c r="N13" i="15" s="1"/>
  <c r="N16" i="15" s="1"/>
  <c r="K5" i="15"/>
  <c r="J13" i="15"/>
  <c r="I13" i="15"/>
  <c r="H16" i="15"/>
  <c r="I16" i="15" s="1"/>
  <c r="H22" i="1"/>
  <c r="G16" i="1" l="1"/>
  <c r="E16" i="1"/>
  <c r="J16" i="1"/>
  <c r="K16" i="1" s="1"/>
  <c r="K13" i="1"/>
  <c r="M12" i="15"/>
  <c r="L13" i="15"/>
  <c r="K13" i="15"/>
  <c r="J16" i="15"/>
  <c r="K16" i="15" s="1"/>
  <c r="I7" i="1"/>
  <c r="H12" i="1"/>
  <c r="M13" i="15" l="1"/>
  <c r="L16" i="15"/>
  <c r="M16" i="15" s="1"/>
  <c r="I12" i="1"/>
  <c r="H13" i="1"/>
  <c r="H16" i="1" l="1"/>
  <c r="I13" i="1"/>
  <c r="I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tc={27DC51F7-EA3C-46D5-A24A-BD6A9926A549}</author>
  </authors>
  <commentList>
    <comment ref="F7" authorId="0" shapeId="0" xr:uid="{27DC51F7-EA3C-46D5-A24A-BD6A9926A549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Year , rent will change subject to renewal</t>
      </text>
    </comment>
  </commentList>
</comments>
</file>

<file path=xl/sharedStrings.xml><?xml version="1.0" encoding="utf-8"?>
<sst xmlns="http://schemas.openxmlformats.org/spreadsheetml/2006/main" count="297" uniqueCount="124">
  <si>
    <t>Adults</t>
  </si>
  <si>
    <t>Fy'25</t>
  </si>
  <si>
    <t>%</t>
  </si>
  <si>
    <t>Sales</t>
  </si>
  <si>
    <t>Gross Margin</t>
  </si>
  <si>
    <t>Net Income</t>
  </si>
  <si>
    <t>emp.Exp</t>
  </si>
  <si>
    <t>Rent</t>
  </si>
  <si>
    <t>Adv &amp;mktng</t>
  </si>
  <si>
    <t>Othr Opex</t>
  </si>
  <si>
    <t xml:space="preserve">Shared Common </t>
  </si>
  <si>
    <t>Shared Others</t>
  </si>
  <si>
    <t>Total Exp.</t>
  </si>
  <si>
    <t>Store Profit</t>
  </si>
  <si>
    <t>Depreciation</t>
  </si>
  <si>
    <t>Finance Charges &amp;Ext</t>
  </si>
  <si>
    <t>Net Profit / Loss</t>
  </si>
  <si>
    <t>Adults - Circle Mall</t>
  </si>
  <si>
    <t>Yr'26</t>
  </si>
  <si>
    <t>Yr'28</t>
  </si>
  <si>
    <t>Yr'29</t>
  </si>
  <si>
    <t>Store Name</t>
  </si>
  <si>
    <t>Start</t>
  </si>
  <si>
    <t>End</t>
  </si>
  <si>
    <t>Size (Sq.Ft)</t>
  </si>
  <si>
    <t>Base Rent</t>
  </si>
  <si>
    <t>SC/SqFt</t>
  </si>
  <si>
    <t>MKT/SqFt</t>
  </si>
  <si>
    <t>Gross Rent Per SqFt</t>
  </si>
  <si>
    <t>Gross Rent</t>
  </si>
  <si>
    <t>TOR%</t>
  </si>
  <si>
    <t>Scenarion 1</t>
  </si>
  <si>
    <t xml:space="preserve">Revise Rent </t>
  </si>
  <si>
    <t>Scenarion 2</t>
  </si>
  <si>
    <t>Revise Rent  &amp; Capex Renovation within 3 years and consider renovation 5th Year  ( as per the mall instruction ) - The current capex invested by Mall Management Capex amount AED 2 Mn with 5 year depreciation</t>
  </si>
  <si>
    <t xml:space="preserve">Rent options </t>
  </si>
  <si>
    <t>Yr'25</t>
  </si>
  <si>
    <t>Per Sqft per annual</t>
  </si>
  <si>
    <t>Per Sqft per month</t>
  </si>
  <si>
    <t>Total Sqft</t>
  </si>
  <si>
    <t>Sc/ Sq ft</t>
  </si>
  <si>
    <t>MKT/Sqft</t>
  </si>
  <si>
    <t>Growth over TOR Vs Fixed Rent</t>
  </si>
  <si>
    <t>YTD</t>
  </si>
  <si>
    <t>FY</t>
  </si>
  <si>
    <t>Store code</t>
  </si>
  <si>
    <t>Ytd Bdgt</t>
  </si>
  <si>
    <t>CY Ytd26</t>
  </si>
  <si>
    <t>%Bdgt</t>
  </si>
  <si>
    <t>FyBdgt</t>
  </si>
  <si>
    <t>FyEst</t>
  </si>
  <si>
    <t>Variance</t>
  </si>
  <si>
    <t>Adv &amp;Mktg Exp</t>
  </si>
  <si>
    <t>Other Admin</t>
  </si>
  <si>
    <t>Shared Cost Emp</t>
  </si>
  <si>
    <t>Shared Cost Others</t>
  </si>
  <si>
    <t>Finance &amp; Extrdnry</t>
  </si>
  <si>
    <t>Till July</t>
  </si>
  <si>
    <t>Aug to DEC</t>
  </si>
  <si>
    <t>Circle Mall</t>
  </si>
  <si>
    <t>Start Date</t>
  </si>
  <si>
    <t>End Date</t>
  </si>
  <si>
    <t xml:space="preserve">Rent % </t>
  </si>
  <si>
    <t>Sqft</t>
  </si>
  <si>
    <t>Per sqft</t>
  </si>
  <si>
    <t>YTD till May'26</t>
  </si>
  <si>
    <t xml:space="preserve">Note :- </t>
  </si>
  <si>
    <t>Yr'27 - 7 MONTHS</t>
  </si>
  <si>
    <t>Yr'27 -FY</t>
  </si>
  <si>
    <t>g</t>
  </si>
  <si>
    <t>Year 2027 - Rent will change from Aug  , if we renew and we have not considered</t>
  </si>
  <si>
    <t>Yr'30</t>
  </si>
  <si>
    <t>Yr'31</t>
  </si>
  <si>
    <t>Year 2026</t>
  </si>
  <si>
    <t>Full Year Projection</t>
  </si>
  <si>
    <t>Jan to July -27</t>
  </si>
  <si>
    <t>Remarks</t>
  </si>
  <si>
    <t>7 month TOR &amp; 5 Months FR</t>
  </si>
  <si>
    <t>Since COTTON ON CIRCLE MALL is existing location, please find the Below rental benchmark for comparison.</t>
  </si>
  <si>
    <t>RENT</t>
  </si>
  <si>
    <t>CW/SqFt</t>
  </si>
  <si>
    <t>Gross/SqFt</t>
  </si>
  <si>
    <t>Adults - Dubai Hills Mall</t>
  </si>
  <si>
    <t xml:space="preserve">    3,803.00 </t>
  </si>
  <si>
    <t xml:space="preserve">       244.00 </t>
  </si>
  <si>
    <t xml:space="preserve">      65.00 </t>
  </si>
  <si>
    <t xml:space="preserve">        20.00 </t>
  </si>
  <si>
    <t xml:space="preserve">              6.10 </t>
  </si>
  <si>
    <t xml:space="preserve">     335.10 </t>
  </si>
  <si>
    <t>Adults - Dubai Mall</t>
  </si>
  <si>
    <t xml:space="preserve">    3,401.00 </t>
  </si>
  <si>
    <t xml:space="preserve">       365.00 </t>
  </si>
  <si>
    <t xml:space="preserve">      80.00 </t>
  </si>
  <si>
    <t xml:space="preserve">              9.13 </t>
  </si>
  <si>
    <t xml:space="preserve">     474.13 </t>
  </si>
  <si>
    <t>Adults-Mirdiff City Centre</t>
  </si>
  <si>
    <t xml:space="preserve">    6,757.00 </t>
  </si>
  <si>
    <t xml:space="preserve">       153.18 </t>
  </si>
  <si>
    <t xml:space="preserve">      69.81 </t>
  </si>
  <si>
    <t xml:space="preserve">        17.38 </t>
  </si>
  <si>
    <t xml:space="preserve">          21.41 </t>
  </si>
  <si>
    <t xml:space="preserve">     261.78 </t>
  </si>
  <si>
    <t xml:space="preserve">Adults-Circle Mall </t>
  </si>
  <si>
    <t xml:space="preserve">    3,598.00 </t>
  </si>
  <si>
    <t xml:space="preserve">       190.00 </t>
  </si>
  <si>
    <t xml:space="preserve">      41.00 </t>
  </si>
  <si>
    <t xml:space="preserve">        15.00 </t>
  </si>
  <si>
    <t xml:space="preserve">                      -   </t>
  </si>
  <si>
    <t xml:space="preserve">     246.00 </t>
  </si>
  <si>
    <t xml:space="preserve">SALES </t>
  </si>
  <si>
    <t>17-Feb-2022 to 07-Aug-2022</t>
  </si>
  <si>
    <t>AED 1,750,345.97</t>
  </si>
  <si>
    <t>08-Aug-2022 to 07-Aug-2023</t>
  </si>
  <si>
    <t>AED 3,345,375.63</t>
  </si>
  <si>
    <t>08-Aug-2023 to 07-Aug-2024</t>
  </si>
  <si>
    <t>AED 3,476,676.14</t>
  </si>
  <si>
    <t>08-Aug-2024 to 07-Aug-2025</t>
  </si>
  <si>
    <t>AED 3,375,376.48</t>
  </si>
  <si>
    <t>08-Aug-2025 to 07-Aug-2026</t>
  </si>
  <si>
    <t>AED 3,936,735.19</t>
  </si>
  <si>
    <r>
      <t xml:space="preserve">Mall average annual footfall of approximately </t>
    </r>
    <r>
      <rPr>
        <b/>
        <sz val="9"/>
        <rFont val="Aptos"/>
        <family val="2"/>
      </rPr>
      <t>7.5 million visitors.</t>
    </r>
  </si>
  <si>
    <t>Full Year Projection  90%</t>
  </si>
  <si>
    <t>1 year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</si>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</sst>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_(* #,##0_);_(* \(#,##0\);_(* &quot;-&quot;??_);_(@_)"/>
    <numFmt numFmtId="165" formatCode="#,##0,"/>
    <numFmt numFmtId="166" formatCode="_(* #,##0_);_(* \(#,##0\);_(* \-??_);_(@_)"/>
    <numFmt numFmtId="167" formatCode="_(* #,##0.00_);_(* \(#,##0.00\);_(* \-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8"/>
      <color theme="1"/>
      <name val="Calibri"/>
      <family val="2"/>
    </font>
    <font>
      <b/>
      <i/>
      <sz val="14"/>
      <color rgb="FF002060"/>
      <name val="Calibri"/>
      <family val="2"/>
    </font>
    <font>
      <b/>
      <i/>
      <sz val="10"/>
      <color theme="0"/>
      <name val="Calibri"/>
      <family val="2"/>
    </font>
    <font>
      <b/>
      <i/>
      <sz val="10"/>
      <name val="Calibri"/>
      <family val="2"/>
    </font>
    <font>
      <i/>
      <sz val="10"/>
      <color theme="1"/>
      <name val="Calibri"/>
      <family val="2"/>
    </font>
    <font>
      <i/>
      <sz val="10"/>
      <name val="Calibri"/>
      <family val="2"/>
    </font>
    <font>
      <b/>
      <i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i/>
      <sz val="14"/>
      <color theme="1"/>
      <name val="Calibri"/>
      <family val="2"/>
    </font>
    <font>
      <b/>
      <i/>
      <sz val="14"/>
      <color theme="1"/>
      <name val="Aptos Narrow"/>
      <family val="2"/>
      <scheme val="minor"/>
    </font>
    <font>
      <b/>
      <i/>
      <sz val="14"/>
      <color theme="0"/>
      <name val="Calibri"/>
      <family val="2"/>
    </font>
    <font>
      <i/>
      <sz val="10"/>
      <name val="Aptos Narrow"/>
      <family val="2"/>
      <scheme val="minor"/>
    </font>
    <font>
      <b/>
      <i/>
      <sz val="8"/>
      <color rgb="FF002060"/>
      <name val="Calibri"/>
      <family val="2"/>
    </font>
    <font>
      <sz val="11"/>
      <color theme="0"/>
      <name val="Aptos Narrow"/>
      <family val="2"/>
      <scheme val="minor"/>
    </font>
    <font>
      <sz val="9"/>
      <name val="Aptos"/>
      <family val="2"/>
    </font>
    <font>
      <sz val="9"/>
      <name val="Aptos Narrow"/>
      <family val="2"/>
      <scheme val="minor"/>
    </font>
    <font>
      <b/>
      <u/>
      <sz val="9"/>
      <name val="Aptos"/>
      <family val="2"/>
    </font>
    <font>
      <b/>
      <sz val="9"/>
      <name val="Aptos"/>
      <family val="2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D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0070C0"/>
        <bgColor rgb="FF008080"/>
      </patternFill>
    </fill>
    <fill>
      <patternFill patternType="solid">
        <fgColor rgb="FFD9D9D9"/>
        <bgColor rgb="FFD7D7D7"/>
      </patternFill>
    </fill>
    <fill>
      <patternFill patternType="solid">
        <fgColor theme="6" tint="0.79989013336588644"/>
        <bgColor rgb="FFF2F2F2"/>
      </patternFill>
    </fill>
    <fill>
      <patternFill patternType="solid">
        <fgColor theme="9" tint="0.79989013336588644"/>
        <bgColor rgb="FFE7E6E6"/>
      </patternFill>
    </fill>
    <fill>
      <patternFill patternType="solid">
        <fgColor theme="8" tint="0.79989013336588644"/>
        <bgColor rgb="FFE7E6E6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/>
      <diagonal/>
    </border>
    <border>
      <left/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medium">
        <color indexed="64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 style="medium">
        <color auto="1"/>
      </top>
      <bottom/>
      <diagonal/>
    </border>
    <border>
      <left style="medium">
        <color auto="1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medium">
        <color indexed="64"/>
      </right>
      <top/>
      <bottom/>
      <diagonal/>
    </border>
    <border>
      <left style="medium">
        <color auto="1"/>
      </left>
      <right style="thin">
        <color theme="0" tint="-0.249977111117893"/>
      </right>
      <top/>
      <bottom style="medium">
        <color auto="1"/>
      </bottom>
      <diagonal/>
    </border>
    <border>
      <left style="thin">
        <color theme="0" tint="-0.249977111117893"/>
      </left>
      <right/>
      <top/>
      <bottom style="medium">
        <color auto="1"/>
      </bottom>
      <diagonal/>
    </border>
    <border>
      <left style="thin">
        <color theme="0" tint="-0.249977111117893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2499465926084170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167" fontId="10" fillId="0" borderId="0"/>
    <xf numFmtId="9" fontId="10" fillId="0" borderId="0"/>
  </cellStyleXfs>
  <cellXfs count="126">
    <xf numFmtId="0" fontId="0" fillId="0" borderId="0" xfId="0"/>
    <xf numFmtId="164" fontId="2" fillId="2" borderId="1" xfId="1" applyNumberFormat="1" applyFont="1" applyFill="1" applyBorder="1" applyAlignment="1">
      <alignment horizontal="left" vertical="center"/>
    </xf>
    <xf numFmtId="164" fontId="3" fillId="0" borderId="2" xfId="1" applyNumberFormat="1" applyFont="1" applyBorder="1" applyAlignment="1">
      <alignment horizontal="left" vertical="center"/>
    </xf>
    <xf numFmtId="164" fontId="4" fillId="3" borderId="3" xfId="1" applyNumberFormat="1" applyFont="1" applyFill="1" applyBorder="1" applyAlignment="1">
      <alignment horizontal="center" vertical="center"/>
    </xf>
    <xf numFmtId="165" fontId="5" fillId="4" borderId="2" xfId="1" quotePrefix="1" applyNumberFormat="1" applyFont="1" applyFill="1" applyBorder="1" applyAlignment="1">
      <alignment horizontal="center" vertical="center"/>
    </xf>
    <xf numFmtId="9" fontId="5" fillId="5" borderId="4" xfId="2" applyFont="1" applyFill="1" applyBorder="1" applyAlignment="1">
      <alignment horizontal="center" vertical="center"/>
    </xf>
    <xf numFmtId="164" fontId="5" fillId="4" borderId="5" xfId="1" quotePrefix="1" applyNumberFormat="1" applyFont="1" applyFill="1" applyBorder="1" applyAlignment="1">
      <alignment horizontal="center" vertical="center"/>
    </xf>
    <xf numFmtId="164" fontId="6" fillId="0" borderId="6" xfId="1" applyNumberFormat="1" applyFont="1" applyBorder="1" applyAlignment="1">
      <alignment vertical="center"/>
    </xf>
    <xf numFmtId="165" fontId="6" fillId="0" borderId="7" xfId="1" applyNumberFormat="1" applyFont="1" applyBorder="1" applyAlignment="1">
      <alignment horizontal="right" vertical="center"/>
    </xf>
    <xf numFmtId="9" fontId="7" fillId="5" borderId="8" xfId="2" applyFont="1" applyFill="1" applyBorder="1" applyAlignment="1">
      <alignment horizontal="right" vertical="center"/>
    </xf>
    <xf numFmtId="164" fontId="6" fillId="6" borderId="6" xfId="1" applyNumberFormat="1" applyFont="1" applyFill="1" applyBorder="1" applyAlignment="1">
      <alignment vertical="center"/>
    </xf>
    <xf numFmtId="165" fontId="6" fillId="6" borderId="7" xfId="1" applyNumberFormat="1" applyFont="1" applyFill="1" applyBorder="1" applyAlignment="1">
      <alignment horizontal="right" vertical="center"/>
    </xf>
    <xf numFmtId="164" fontId="6" fillId="7" borderId="6" xfId="1" applyNumberFormat="1" applyFont="1" applyFill="1" applyBorder="1" applyAlignment="1">
      <alignment vertical="center"/>
    </xf>
    <xf numFmtId="165" fontId="6" fillId="7" borderId="7" xfId="1" applyNumberFormat="1" applyFont="1" applyFill="1" applyBorder="1" applyAlignment="1">
      <alignment horizontal="right" vertical="center"/>
    </xf>
    <xf numFmtId="164" fontId="6" fillId="8" borderId="6" xfId="1" applyNumberFormat="1" applyFont="1" applyFill="1" applyBorder="1" applyAlignment="1">
      <alignment vertical="center"/>
    </xf>
    <xf numFmtId="165" fontId="6" fillId="8" borderId="7" xfId="1" applyNumberFormat="1" applyFont="1" applyFill="1" applyBorder="1" applyAlignment="1">
      <alignment horizontal="right" vertical="center"/>
    </xf>
    <xf numFmtId="164" fontId="8" fillId="7" borderId="9" xfId="1" applyNumberFormat="1" applyFont="1" applyFill="1" applyBorder="1" applyAlignment="1">
      <alignment vertical="center"/>
    </xf>
    <xf numFmtId="165" fontId="8" fillId="7" borderId="10" xfId="1" applyNumberFormat="1" applyFont="1" applyFill="1" applyBorder="1" applyAlignment="1">
      <alignment horizontal="right" vertical="center"/>
    </xf>
    <xf numFmtId="0" fontId="0" fillId="0" borderId="11" xfId="0" applyBorder="1"/>
    <xf numFmtId="15" fontId="0" fillId="0" borderId="11" xfId="0" applyNumberFormat="1" applyBorder="1"/>
    <xf numFmtId="4" fontId="0" fillId="0" borderId="11" xfId="0" applyNumberFormat="1" applyBorder="1"/>
    <xf numFmtId="9" fontId="0" fillId="0" borderId="11" xfId="0" applyNumberFormat="1" applyBorder="1"/>
    <xf numFmtId="0" fontId="0" fillId="0" borderId="11" xfId="0" applyBorder="1" applyAlignment="1">
      <alignment horizontal="center" vertical="center"/>
    </xf>
    <xf numFmtId="3" fontId="0" fillId="0" borderId="11" xfId="0" applyNumberFormat="1" applyBorder="1"/>
    <xf numFmtId="3" fontId="0" fillId="0" borderId="0" xfId="0" applyNumberFormat="1"/>
    <xf numFmtId="3" fontId="0" fillId="0" borderId="11" xfId="0" applyNumberFormat="1" applyBorder="1" applyAlignment="1">
      <alignment horizontal="center" vertical="center"/>
    </xf>
    <xf numFmtId="43" fontId="0" fillId="0" borderId="0" xfId="3" applyFont="1"/>
    <xf numFmtId="43" fontId="0" fillId="0" borderId="0" xfId="0" applyNumberFormat="1"/>
    <xf numFmtId="0" fontId="9" fillId="0" borderId="0" xfId="0" applyFont="1"/>
    <xf numFmtId="43" fontId="0" fillId="10" borderId="0" xfId="0" applyNumberFormat="1" applyFill="1"/>
    <xf numFmtId="9" fontId="0" fillId="2" borderId="0" xfId="4" applyFont="1" applyFill="1"/>
    <xf numFmtId="9" fontId="3" fillId="0" borderId="2" xfId="4" applyFont="1" applyBorder="1" applyAlignment="1">
      <alignment horizontal="left" vertical="center"/>
    </xf>
    <xf numFmtId="166" fontId="6" fillId="0" borderId="0" xfId="5" applyNumberFormat="1" applyFont="1" applyAlignment="1">
      <alignment vertical="center"/>
    </xf>
    <xf numFmtId="166" fontId="11" fillId="11" borderId="18" xfId="5" applyNumberFormat="1" applyFont="1" applyFill="1" applyBorder="1" applyAlignment="1">
      <alignment horizontal="center" vertical="center"/>
    </xf>
    <xf numFmtId="166" fontId="6" fillId="0" borderId="19" xfId="5" applyNumberFormat="1" applyFont="1" applyBorder="1" applyAlignment="1">
      <alignment vertical="center"/>
    </xf>
    <xf numFmtId="166" fontId="3" fillId="0" borderId="19" xfId="5" applyNumberFormat="1" applyFont="1" applyBorder="1" applyAlignment="1">
      <alignment vertical="center"/>
    </xf>
    <xf numFmtId="164" fontId="12" fillId="0" borderId="19" xfId="6" applyNumberFormat="1" applyFont="1" applyBorder="1" applyAlignment="1">
      <alignment vertical="center"/>
    </xf>
    <xf numFmtId="164" fontId="12" fillId="0" borderId="20" xfId="6" applyNumberFormat="1" applyFont="1" applyBorder="1" applyAlignment="1">
      <alignment vertical="center"/>
    </xf>
    <xf numFmtId="166" fontId="3" fillId="0" borderId="20" xfId="5" applyNumberFormat="1" applyFont="1" applyBorder="1" applyAlignment="1">
      <alignment vertical="center"/>
    </xf>
    <xf numFmtId="166" fontId="11" fillId="0" borderId="21" xfId="5" applyNumberFormat="1" applyFont="1" applyBorder="1" applyAlignment="1">
      <alignment vertical="center"/>
    </xf>
    <xf numFmtId="166" fontId="13" fillId="12" borderId="18" xfId="5" applyNumberFormat="1" applyFont="1" applyFill="1" applyBorder="1" applyAlignment="1">
      <alignment horizontal="center" vertical="center"/>
    </xf>
    <xf numFmtId="17" fontId="3" fillId="0" borderId="18" xfId="5" applyNumberFormat="1" applyFont="1" applyBorder="1" applyAlignment="1">
      <alignment vertical="center"/>
    </xf>
    <xf numFmtId="17" fontId="3" fillId="0" borderId="21" xfId="5" applyNumberFormat="1" applyFont="1" applyBorder="1" applyAlignment="1">
      <alignment vertical="center"/>
    </xf>
    <xf numFmtId="166" fontId="7" fillId="13" borderId="1" xfId="5" quotePrefix="1" applyNumberFormat="1" applyFont="1" applyFill="1" applyBorder="1" applyAlignment="1">
      <alignment horizontal="center" vertical="center"/>
    </xf>
    <xf numFmtId="9" fontId="14" fillId="5" borderId="4" xfId="7" applyFont="1" applyFill="1" applyBorder="1" applyAlignment="1">
      <alignment horizontal="center" vertical="center"/>
    </xf>
    <xf numFmtId="166" fontId="7" fillId="13" borderId="22" xfId="5" quotePrefix="1" applyNumberFormat="1" applyFont="1" applyFill="1" applyBorder="1" applyAlignment="1">
      <alignment horizontal="center" vertical="center"/>
    </xf>
    <xf numFmtId="9" fontId="14" fillId="8" borderId="2" xfId="7" applyFont="1" applyFill="1" applyBorder="1" applyAlignment="1">
      <alignment horizontal="center" vertical="center"/>
    </xf>
    <xf numFmtId="166" fontId="7" fillId="13" borderId="2" xfId="5" quotePrefix="1" applyNumberFormat="1" applyFont="1" applyFill="1" applyBorder="1" applyAlignment="1">
      <alignment horizontal="center" vertical="center"/>
    </xf>
    <xf numFmtId="0" fontId="0" fillId="0" borderId="13" xfId="0" applyBorder="1"/>
    <xf numFmtId="166" fontId="6" fillId="0" borderId="23" xfId="5" applyNumberFormat="1" applyFont="1" applyBorder="1" applyAlignment="1">
      <alignment vertical="center"/>
    </xf>
    <xf numFmtId="165" fontId="6" fillId="0" borderId="13" xfId="5" applyNumberFormat="1" applyFont="1" applyBorder="1" applyAlignment="1">
      <alignment horizontal="right" vertical="center"/>
    </xf>
    <xf numFmtId="165" fontId="6" fillId="0" borderId="24" xfId="5" applyNumberFormat="1" applyFont="1" applyBorder="1" applyAlignment="1">
      <alignment horizontal="right" vertical="center"/>
    </xf>
    <xf numFmtId="165" fontId="6" fillId="0" borderId="25" xfId="5" applyNumberFormat="1" applyFont="1" applyBorder="1" applyAlignment="1">
      <alignment horizontal="right" vertical="center"/>
    </xf>
    <xf numFmtId="9" fontId="14" fillId="5" borderId="8" xfId="7" applyFont="1" applyFill="1" applyBorder="1" applyAlignment="1">
      <alignment horizontal="right" vertical="center"/>
    </xf>
    <xf numFmtId="165" fontId="6" fillId="0" borderId="0" xfId="5" applyNumberFormat="1" applyFont="1" applyAlignment="1">
      <alignment horizontal="right" vertical="center"/>
    </xf>
    <xf numFmtId="9" fontId="14" fillId="8" borderId="0" xfId="7" applyFont="1" applyFill="1" applyAlignment="1">
      <alignment horizontal="right" vertical="center"/>
    </xf>
    <xf numFmtId="165" fontId="6" fillId="0" borderId="16" xfId="5" applyNumberFormat="1" applyFont="1" applyBorder="1" applyAlignment="1">
      <alignment horizontal="right" vertical="center"/>
    </xf>
    <xf numFmtId="166" fontId="6" fillId="0" borderId="13" xfId="5" applyNumberFormat="1" applyFont="1" applyBorder="1" applyAlignment="1">
      <alignment vertical="center"/>
    </xf>
    <xf numFmtId="166" fontId="6" fillId="14" borderId="23" xfId="5" applyNumberFormat="1" applyFont="1" applyFill="1" applyBorder="1" applyAlignment="1">
      <alignment vertical="center"/>
    </xf>
    <xf numFmtId="165" fontId="6" fillId="14" borderId="13" xfId="5" applyNumberFormat="1" applyFont="1" applyFill="1" applyBorder="1" applyAlignment="1">
      <alignment horizontal="right" vertical="center"/>
    </xf>
    <xf numFmtId="165" fontId="6" fillId="14" borderId="24" xfId="5" applyNumberFormat="1" applyFont="1" applyFill="1" applyBorder="1" applyAlignment="1">
      <alignment horizontal="right" vertical="center"/>
    </xf>
    <xf numFmtId="165" fontId="6" fillId="14" borderId="25" xfId="5" applyNumberFormat="1" applyFont="1" applyFill="1" applyBorder="1" applyAlignment="1">
      <alignment horizontal="right" vertical="center"/>
    </xf>
    <xf numFmtId="165" fontId="6" fillId="14" borderId="0" xfId="5" applyNumberFormat="1" applyFont="1" applyFill="1" applyAlignment="1">
      <alignment horizontal="right" vertical="center"/>
    </xf>
    <xf numFmtId="165" fontId="6" fillId="14" borderId="16" xfId="5" applyNumberFormat="1" applyFont="1" applyFill="1" applyBorder="1" applyAlignment="1">
      <alignment horizontal="right" vertical="center"/>
    </xf>
    <xf numFmtId="166" fontId="6" fillId="15" borderId="23" xfId="5" applyNumberFormat="1" applyFont="1" applyFill="1" applyBorder="1" applyAlignment="1">
      <alignment vertical="center"/>
    </xf>
    <xf numFmtId="165" fontId="6" fillId="15" borderId="13" xfId="5" applyNumberFormat="1" applyFont="1" applyFill="1" applyBorder="1" applyAlignment="1">
      <alignment horizontal="right" vertical="center"/>
    </xf>
    <xf numFmtId="165" fontId="6" fillId="15" borderId="24" xfId="5" applyNumberFormat="1" applyFont="1" applyFill="1" applyBorder="1" applyAlignment="1">
      <alignment horizontal="right" vertical="center"/>
    </xf>
    <xf numFmtId="165" fontId="6" fillId="15" borderId="25" xfId="5" applyNumberFormat="1" applyFont="1" applyFill="1" applyBorder="1" applyAlignment="1">
      <alignment horizontal="right" vertical="center"/>
    </xf>
    <xf numFmtId="165" fontId="6" fillId="15" borderId="0" xfId="5" applyNumberFormat="1" applyFont="1" applyFill="1" applyAlignment="1">
      <alignment horizontal="right" vertical="center"/>
    </xf>
    <xf numFmtId="166" fontId="6" fillId="16" borderId="23" xfId="5" applyNumberFormat="1" applyFont="1" applyFill="1" applyBorder="1" applyAlignment="1">
      <alignment vertical="center"/>
    </xf>
    <xf numFmtId="165" fontId="6" fillId="16" borderId="13" xfId="5" applyNumberFormat="1" applyFont="1" applyFill="1" applyBorder="1" applyAlignment="1">
      <alignment horizontal="right" vertical="center"/>
    </xf>
    <xf numFmtId="165" fontId="6" fillId="16" borderId="24" xfId="5" applyNumberFormat="1" applyFont="1" applyFill="1" applyBorder="1" applyAlignment="1">
      <alignment horizontal="right" vertical="center"/>
    </xf>
    <xf numFmtId="165" fontId="6" fillId="16" borderId="25" xfId="5" applyNumberFormat="1" applyFont="1" applyFill="1" applyBorder="1" applyAlignment="1">
      <alignment horizontal="right" vertical="center"/>
    </xf>
    <xf numFmtId="165" fontId="6" fillId="16" borderId="0" xfId="5" applyNumberFormat="1" applyFont="1" applyFill="1" applyAlignment="1">
      <alignment horizontal="right" vertical="center"/>
    </xf>
    <xf numFmtId="165" fontId="6" fillId="16" borderId="16" xfId="5" applyNumberFormat="1" applyFont="1" applyFill="1" applyBorder="1" applyAlignment="1">
      <alignment horizontal="right" vertical="center"/>
    </xf>
    <xf numFmtId="166" fontId="6" fillId="0" borderId="14" xfId="5" applyNumberFormat="1" applyFont="1" applyBorder="1" applyAlignment="1">
      <alignment vertical="center"/>
    </xf>
    <xf numFmtId="166" fontId="8" fillId="15" borderId="26" xfId="5" applyNumberFormat="1" applyFont="1" applyFill="1" applyBorder="1" applyAlignment="1">
      <alignment vertical="center"/>
    </xf>
    <xf numFmtId="165" fontId="8" fillId="15" borderId="14" xfId="5" applyNumberFormat="1" applyFont="1" applyFill="1" applyBorder="1" applyAlignment="1">
      <alignment horizontal="right" vertical="center"/>
    </xf>
    <xf numFmtId="165" fontId="8" fillId="15" borderId="27" xfId="5" applyNumberFormat="1" applyFont="1" applyFill="1" applyBorder="1" applyAlignment="1">
      <alignment horizontal="right" vertical="center"/>
    </xf>
    <xf numFmtId="165" fontId="8" fillId="15" borderId="28" xfId="5" applyNumberFormat="1" applyFont="1" applyFill="1" applyBorder="1" applyAlignment="1">
      <alignment horizontal="right" vertical="center"/>
    </xf>
    <xf numFmtId="9" fontId="14" fillId="5" borderId="29" xfId="7" applyFont="1" applyFill="1" applyBorder="1" applyAlignment="1">
      <alignment horizontal="right" vertical="center"/>
    </xf>
    <xf numFmtId="165" fontId="8" fillId="15" borderId="12" xfId="5" applyNumberFormat="1" applyFont="1" applyFill="1" applyBorder="1" applyAlignment="1">
      <alignment horizontal="right" vertical="center"/>
    </xf>
    <xf numFmtId="9" fontId="14" fillId="8" borderId="12" xfId="7" applyFont="1" applyFill="1" applyBorder="1" applyAlignment="1">
      <alignment horizontal="right" vertical="center"/>
    </xf>
    <xf numFmtId="165" fontId="8" fillId="15" borderId="17" xfId="5" applyNumberFormat="1" applyFont="1" applyFill="1" applyBorder="1" applyAlignment="1">
      <alignment horizontal="right" vertical="center"/>
    </xf>
    <xf numFmtId="165" fontId="0" fillId="0" borderId="0" xfId="0" applyNumberFormat="1"/>
    <xf numFmtId="9" fontId="5" fillId="5" borderId="15" xfId="2" applyFont="1" applyFill="1" applyBorder="1" applyAlignment="1">
      <alignment horizontal="center" vertical="center"/>
    </xf>
    <xf numFmtId="9" fontId="7" fillId="5" borderId="16" xfId="2" applyFont="1" applyFill="1" applyBorder="1" applyAlignment="1">
      <alignment horizontal="right" vertical="center"/>
    </xf>
    <xf numFmtId="9" fontId="7" fillId="5" borderId="29" xfId="2" applyFont="1" applyFill="1" applyBorder="1" applyAlignment="1">
      <alignment horizontal="right" vertical="center"/>
    </xf>
    <xf numFmtId="9" fontId="7" fillId="5" borderId="17" xfId="2" applyFont="1" applyFill="1" applyBorder="1" applyAlignment="1">
      <alignment horizontal="right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11" xfId="3" applyFont="1" applyBorder="1"/>
    <xf numFmtId="43" fontId="0" fillId="0" borderId="11" xfId="0" applyNumberFormat="1" applyBorder="1"/>
    <xf numFmtId="164" fontId="0" fillId="0" borderId="11" xfId="0" applyNumberFormat="1" applyBorder="1"/>
    <xf numFmtId="15" fontId="0" fillId="0" borderId="0" xfId="0" applyNumberFormat="1"/>
    <xf numFmtId="0" fontId="0" fillId="9" borderId="0" xfId="0" applyFill="1"/>
    <xf numFmtId="15" fontId="0" fillId="9" borderId="0" xfId="0" applyNumberFormat="1" applyFill="1"/>
    <xf numFmtId="43" fontId="0" fillId="9" borderId="0" xfId="3" applyFont="1" applyFill="1"/>
    <xf numFmtId="164" fontId="5" fillId="9" borderId="5" xfId="1" quotePrefix="1" applyNumberFormat="1" applyFont="1" applyFill="1" applyBorder="1" applyAlignment="1">
      <alignment horizontal="center" vertical="center"/>
    </xf>
    <xf numFmtId="165" fontId="6" fillId="9" borderId="7" xfId="1" applyNumberFormat="1" applyFont="1" applyFill="1" applyBorder="1" applyAlignment="1">
      <alignment horizontal="right" vertical="center"/>
    </xf>
    <xf numFmtId="0" fontId="0" fillId="9" borderId="0" xfId="0" applyFill="1" applyAlignment="1">
      <alignment horizontal="center"/>
    </xf>
    <xf numFmtId="9" fontId="15" fillId="9" borderId="2" xfId="4" applyFont="1" applyFill="1" applyBorder="1" applyAlignment="1">
      <alignment horizontal="left" vertical="center" wrapText="1"/>
    </xf>
    <xf numFmtId="9" fontId="6" fillId="0" borderId="7" xfId="4" applyFont="1" applyBorder="1" applyAlignment="1">
      <alignment horizontal="right" vertical="center"/>
    </xf>
    <xf numFmtId="43" fontId="16" fillId="0" borderId="0" xfId="3" applyFont="1"/>
    <xf numFmtId="0" fontId="16" fillId="0" borderId="0" xfId="0" applyFont="1"/>
    <xf numFmtId="43" fontId="16" fillId="0" borderId="0" xfId="0" applyNumberFormat="1" applyFont="1"/>
    <xf numFmtId="165" fontId="6" fillId="0" borderId="0" xfId="1" applyNumberFormat="1" applyFont="1" applyBorder="1" applyAlignment="1">
      <alignment horizontal="right" vertical="center"/>
    </xf>
    <xf numFmtId="165" fontId="6" fillId="6" borderId="0" xfId="1" applyNumberFormat="1" applyFont="1" applyFill="1" applyBorder="1" applyAlignment="1">
      <alignment horizontal="right" vertical="center"/>
    </xf>
    <xf numFmtId="165" fontId="6" fillId="7" borderId="0" xfId="1" applyNumberFormat="1" applyFont="1" applyFill="1" applyBorder="1" applyAlignment="1">
      <alignment horizontal="right" vertical="center"/>
    </xf>
    <xf numFmtId="165" fontId="6" fillId="8" borderId="0" xfId="1" applyNumberFormat="1" applyFont="1" applyFill="1" applyBorder="1" applyAlignment="1">
      <alignment horizontal="right" vertical="center"/>
    </xf>
    <xf numFmtId="165" fontId="8" fillId="7" borderId="0" xfId="1" applyNumberFormat="1" applyFont="1" applyFill="1" applyBorder="1" applyAlignment="1">
      <alignment horizontal="right" vertical="center"/>
    </xf>
    <xf numFmtId="9" fontId="6" fillId="0" borderId="0" xfId="4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horizontal="right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 indent="1"/>
    </xf>
    <xf numFmtId="0" fontId="20" fillId="0" borderId="0" xfId="0" applyFont="1" applyAlignment="1">
      <alignment vertical="center"/>
    </xf>
    <xf numFmtId="0" fontId="17" fillId="0" borderId="0" xfId="0" applyFont="1" applyAlignment="1">
      <alignment horizontal="centerContinuous" vertical="center" wrapText="1"/>
    </xf>
    <xf numFmtId="0" fontId="17" fillId="0" borderId="0" xfId="0" applyFont="1" applyAlignment="1">
      <alignment horizontal="centerContinuous" vertical="center"/>
    </xf>
    <xf numFmtId="0" fontId="18" fillId="0" borderId="0" xfId="0" applyFont="1" applyAlignment="1">
      <alignment horizontal="centerContinuous"/>
    </xf>
    <xf numFmtId="0" fontId="0" fillId="9" borderId="12" xfId="0" applyFill="1" applyBorder="1" applyAlignment="1">
      <alignment horizontal="center"/>
    </xf>
  </cellXfs>
  <cellStyles count="8">
    <cellStyle name="Comma" xfId="3" builtinId="3"/>
    <cellStyle name="Comma 2" xfId="1" xr:uid="{4C3C68AF-B004-4F06-B44A-73F559F90511}"/>
    <cellStyle name="Comma 2 2" xfId="6" xr:uid="{AEF0ADDF-874D-4CC5-974C-C3A42FA3B70D}"/>
    <cellStyle name="Normal" xfId="0" builtinId="0"/>
    <cellStyle name="Normal 2" xfId="5" xr:uid="{E4187225-AD64-4297-830A-10E67E7DE3E3}"/>
    <cellStyle name="Percent" xfId="4" builtinId="5"/>
    <cellStyle name="Percent 2" xfId="7" xr:uid="{E1A5E2C4-573A-457D-B4D4-FAEF736911AB}"/>
    <cellStyle name="Percent 2 3" xfId="2" xr:uid="{CD9650EC-00DA-4913-8489-D65BCE50B05B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9F488CFF-56DD-43EC-9803-E848AFC1C6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511175</xdr:colOff>
      <xdr:row>11</xdr:row>
      <xdr:rowOff>110155</xdr:rowOff>
    </xdr:from>
    <xdr:to>
      <xdr:col>16</xdr:col>
      <xdr:colOff>124062</xdr:colOff>
      <xdr:row>24</xdr:row>
      <xdr:rowOff>92681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9BCE24-B01B-4AB2-9BFF-73910DF14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175" y="2224705"/>
          <a:ext cx="10159818" cy="24590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ashid Abdul Salam - Sharaf Electronics" id="{A4983C42-0097-4DAA-A6A8-D1901425D935}" userId="S::rashid.abdul@sharafelectronics.com::d160500d-8341-4c7d-b818-20666d6b8c9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" dT="2026-08-22T08:22:47.24" personId="{A4983C42-0097-4DAA-A6A8-D1901425D935}" id="{27DC51F7-EA3C-46D5-A24A-BD6A9926A549}">
    <text>Full Year , rent will change subject to renewal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174197-5E6D-4AC1-AADC-259179EBFE3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0679335-e21f-42a5-8f9f-59d488208f6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3047-19E8-4C9A-92CE-73C7F92F8EE0}">
  <dimension ref="B1:X11"/>
  <sheetViews>
    <sheetView showGridLines="0" tabSelected="1" zoomScale="91" workbookViewId="0">
      <selection activeCell="I11" sqref="I11"/>
    </sheetView>
  </sheetViews>
  <sheetFormatPr defaultRowHeight="14.5" x14ac:dyDescent="0.35"/>
  <cols>
    <col min="2" max="2" width="9.7265625" bestFit="1" customWidth="1"/>
    <col min="3" max="3" width="10" bestFit="1" customWidth="1"/>
    <col min="4" max="4" width="13.26953125" bestFit="1" customWidth="1"/>
    <col min="5" max="5" width="12.1796875" bestFit="1" customWidth="1"/>
    <col min="9" max="9" width="6.26953125" customWidth="1"/>
    <col min="10" max="11" width="9.81640625" bestFit="1" customWidth="1"/>
    <col min="12" max="12" width="14.81640625" bestFit="1" customWidth="1"/>
    <col min="13" max="13" width="13.7265625" bestFit="1" customWidth="1"/>
    <col min="14" max="14" width="7.26953125" bestFit="1" customWidth="1"/>
    <col min="15" max="15" width="5.453125" bestFit="1" customWidth="1"/>
    <col min="16" max="16" width="8.26953125" bestFit="1" customWidth="1"/>
    <col min="18" max="19" width="9.81640625" bestFit="1" customWidth="1"/>
    <col min="20" max="20" width="14.81640625" bestFit="1" customWidth="1"/>
    <col min="21" max="21" width="13.7265625" bestFit="1" customWidth="1"/>
    <col min="22" max="22" width="7.26953125" bestFit="1" customWidth="1"/>
    <col min="23" max="23" width="5.453125" bestFit="1" customWidth="1"/>
    <col min="24" max="24" width="8.26953125" bestFit="1" customWidth="1"/>
  </cols>
  <sheetData>
    <row r="1" spans="2:24" ht="15" thickBot="1" x14ac:dyDescent="0.4"/>
    <row r="2" spans="2:24" ht="15" thickBot="1" x14ac:dyDescent="0.4">
      <c r="B2" s="89" t="s">
        <v>59</v>
      </c>
      <c r="C2" s="90"/>
      <c r="D2" s="90"/>
      <c r="E2" s="90"/>
      <c r="F2" s="90"/>
      <c r="G2" s="90"/>
      <c r="H2" s="91"/>
    </row>
    <row r="3" spans="2:24" s="93" customFormat="1" x14ac:dyDescent="0.35">
      <c r="B3" s="92" t="s">
        <v>60</v>
      </c>
      <c r="C3" s="92" t="s">
        <v>61</v>
      </c>
      <c r="D3" s="92" t="s">
        <v>3</v>
      </c>
      <c r="E3" s="92" t="s">
        <v>7</v>
      </c>
      <c r="F3" s="92" t="s">
        <v>62</v>
      </c>
      <c r="G3" s="92" t="s">
        <v>63</v>
      </c>
      <c r="H3" s="92" t="s">
        <v>64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2:24" x14ac:dyDescent="0.35">
      <c r="B4" s="19">
        <v>44781</v>
      </c>
      <c r="C4" s="19">
        <v>45145</v>
      </c>
      <c r="D4" s="94">
        <v>3345376</v>
      </c>
      <c r="E4" s="95">
        <f>D4*F4</f>
        <v>468352.64000000007</v>
      </c>
      <c r="F4" s="21">
        <v>0.14000000000000001</v>
      </c>
      <c r="G4" s="18">
        <v>3598</v>
      </c>
      <c r="H4" s="96">
        <f t="shared" ref="H4:H7" si="0">E4/G4</f>
        <v>130.17027237354088</v>
      </c>
    </row>
    <row r="5" spans="2:24" x14ac:dyDescent="0.35">
      <c r="B5" s="19">
        <v>45146</v>
      </c>
      <c r="C5" s="19">
        <v>45511</v>
      </c>
      <c r="D5" s="94">
        <v>3476676</v>
      </c>
      <c r="E5" s="95">
        <f>D5*F5</f>
        <v>486734.64000000007</v>
      </c>
      <c r="F5" s="21">
        <v>0.14000000000000001</v>
      </c>
      <c r="G5" s="18">
        <v>3598</v>
      </c>
      <c r="H5" s="96">
        <f t="shared" si="0"/>
        <v>135.27922178988328</v>
      </c>
    </row>
    <row r="6" spans="2:24" x14ac:dyDescent="0.35">
      <c r="B6" s="19">
        <v>45512</v>
      </c>
      <c r="C6" s="19">
        <v>45876</v>
      </c>
      <c r="D6" s="94">
        <v>3375376</v>
      </c>
      <c r="E6" s="95">
        <f>D6*F6</f>
        <v>472552.64000000007</v>
      </c>
      <c r="F6" s="21">
        <v>0.14000000000000001</v>
      </c>
      <c r="G6" s="18">
        <v>3598</v>
      </c>
      <c r="H6" s="96">
        <f t="shared" si="0"/>
        <v>131.33758754863814</v>
      </c>
    </row>
    <row r="7" spans="2:24" x14ac:dyDescent="0.35">
      <c r="B7" s="19">
        <v>45877</v>
      </c>
      <c r="C7" s="19">
        <v>46241</v>
      </c>
      <c r="D7" s="95">
        <f>D10/10*12*95%</f>
        <v>3778830.96</v>
      </c>
      <c r="E7" s="95">
        <f>D7*F7</f>
        <v>529036.33440000005</v>
      </c>
      <c r="F7" s="21">
        <v>0.14000000000000001</v>
      </c>
      <c r="G7" s="18">
        <v>3598</v>
      </c>
      <c r="H7" s="96">
        <f t="shared" si="0"/>
        <v>147.03622412451364</v>
      </c>
    </row>
    <row r="8" spans="2:24" x14ac:dyDescent="0.35">
      <c r="B8" s="97"/>
      <c r="C8" s="97"/>
      <c r="H8" s="28">
        <v>246</v>
      </c>
      <c r="I8" s="28" t="s">
        <v>122</v>
      </c>
      <c r="J8" s="28" t="s">
        <v>123</v>
      </c>
    </row>
    <row r="9" spans="2:24" x14ac:dyDescent="0.35">
      <c r="B9" s="97"/>
      <c r="C9" s="97"/>
    </row>
    <row r="10" spans="2:24" x14ac:dyDescent="0.35">
      <c r="B10" s="98" t="s">
        <v>65</v>
      </c>
      <c r="C10" s="99">
        <v>46173</v>
      </c>
      <c r="D10" s="100">
        <v>3314764</v>
      </c>
    </row>
    <row r="11" spans="2:24" x14ac:dyDescent="0.35">
      <c r="B11" t="s">
        <v>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5A94-7878-422B-9011-2BB43E75278F}">
  <dimension ref="B1:V16"/>
  <sheetViews>
    <sheetView topLeftCell="G1" workbookViewId="0">
      <selection activeCell="U2" sqref="U2"/>
    </sheetView>
  </sheetViews>
  <sheetFormatPr defaultRowHeight="14.5" x14ac:dyDescent="0.35"/>
  <cols>
    <col min="2" max="2" width="17" bestFit="1" customWidth="1"/>
    <col min="3" max="3" width="29.54296875" bestFit="1" customWidth="1"/>
    <col min="4" max="4" width="9.54296875" bestFit="1" customWidth="1"/>
    <col min="5" max="5" width="9.81640625" bestFit="1" customWidth="1"/>
    <col min="6" max="6" width="10.7265625" bestFit="1" customWidth="1"/>
    <col min="7" max="7" width="10" bestFit="1" customWidth="1"/>
    <col min="8" max="8" width="11" bestFit="1" customWidth="1"/>
    <col min="9" max="10" width="9.54296875" bestFit="1" customWidth="1"/>
    <col min="11" max="15" width="9.54296875" customWidth="1"/>
  </cols>
  <sheetData>
    <row r="1" spans="2:22" ht="19" thickBot="1" x14ac:dyDescent="0.4">
      <c r="C1" s="32" t="s">
        <v>17</v>
      </c>
      <c r="K1" s="33" t="s">
        <v>43</v>
      </c>
      <c r="L1" s="34" t="s">
        <v>17</v>
      </c>
      <c r="M1" s="35"/>
      <c r="N1" s="36"/>
      <c r="O1" s="37"/>
      <c r="P1" s="33" t="s">
        <v>44</v>
      </c>
      <c r="Q1" s="36"/>
      <c r="R1" s="34" t="s">
        <v>17</v>
      </c>
      <c r="S1" s="36"/>
      <c r="T1" s="38"/>
      <c r="U1" s="34"/>
    </row>
    <row r="2" spans="2:22" ht="19" thickBot="1" x14ac:dyDescent="0.4">
      <c r="B2" s="39" t="s">
        <v>45</v>
      </c>
      <c r="C2" s="40"/>
      <c r="D2" s="41">
        <v>46023</v>
      </c>
      <c r="E2" s="41">
        <v>46054</v>
      </c>
      <c r="F2" s="41">
        <v>46082</v>
      </c>
      <c r="G2" s="41">
        <v>46113</v>
      </c>
      <c r="H2" s="41">
        <v>46143</v>
      </c>
      <c r="I2" s="41">
        <v>46174</v>
      </c>
      <c r="J2" s="42">
        <v>46204</v>
      </c>
      <c r="K2" s="43" t="s">
        <v>46</v>
      </c>
      <c r="L2" s="44" t="s">
        <v>2</v>
      </c>
      <c r="M2" s="45" t="s">
        <v>47</v>
      </c>
      <c r="N2" s="44" t="s">
        <v>2</v>
      </c>
      <c r="O2" s="46" t="s">
        <v>48</v>
      </c>
      <c r="P2" s="45" t="s">
        <v>49</v>
      </c>
      <c r="Q2" s="44" t="s">
        <v>2</v>
      </c>
      <c r="R2" s="45" t="s">
        <v>50</v>
      </c>
      <c r="S2" s="44" t="s">
        <v>2</v>
      </c>
      <c r="T2" s="47" t="s">
        <v>51</v>
      </c>
      <c r="U2" s="45" t="s">
        <v>36</v>
      </c>
    </row>
    <row r="3" spans="2:22" x14ac:dyDescent="0.35">
      <c r="B3" s="48"/>
      <c r="C3" s="49" t="s">
        <v>3</v>
      </c>
      <c r="D3" s="50">
        <v>340704.6</v>
      </c>
      <c r="E3" s="51">
        <v>301035.14</v>
      </c>
      <c r="F3" s="51">
        <v>354918.32</v>
      </c>
      <c r="G3" s="51">
        <v>307390.56</v>
      </c>
      <c r="H3" s="51">
        <v>398212.2</v>
      </c>
      <c r="I3" s="52">
        <v>280658.37</v>
      </c>
      <c r="J3" s="52">
        <v>282307.7</v>
      </c>
      <c r="K3" s="50">
        <v>2278589.351999999</v>
      </c>
      <c r="L3" s="53">
        <v>1</v>
      </c>
      <c r="M3" s="54">
        <v>2265226.89</v>
      </c>
      <c r="N3" s="53">
        <v>1</v>
      </c>
      <c r="O3" s="55">
        <v>0.99413564274393273</v>
      </c>
      <c r="P3" s="51">
        <v>4140734.351999999</v>
      </c>
      <c r="Q3" s="53">
        <v>1</v>
      </c>
      <c r="R3" s="54">
        <v>4474942.3811699217</v>
      </c>
      <c r="S3" s="53">
        <v>1</v>
      </c>
      <c r="T3" s="56">
        <v>334208.02916992269</v>
      </c>
      <c r="U3" s="54">
        <v>3635846.29</v>
      </c>
      <c r="V3" s="84">
        <f>R3-M3</f>
        <v>2209715.4911699216</v>
      </c>
    </row>
    <row r="4" spans="2:22" x14ac:dyDescent="0.35">
      <c r="B4" s="57" t="s">
        <v>17</v>
      </c>
      <c r="C4" s="49" t="s">
        <v>4</v>
      </c>
      <c r="D4" s="50">
        <v>251335.78</v>
      </c>
      <c r="E4" s="51">
        <v>234082.59</v>
      </c>
      <c r="F4" s="51">
        <v>282025.76</v>
      </c>
      <c r="G4" s="51">
        <v>234518.88</v>
      </c>
      <c r="H4" s="51">
        <v>300033.88</v>
      </c>
      <c r="I4" s="52">
        <v>207023.74</v>
      </c>
      <c r="J4" s="52">
        <v>199392.36</v>
      </c>
      <c r="K4" s="50">
        <v>1767257.7148399998</v>
      </c>
      <c r="L4" s="53">
        <v>0.77559289623152794</v>
      </c>
      <c r="M4" s="54">
        <v>1708412.9900000002</v>
      </c>
      <c r="N4" s="53">
        <v>0.75419067182272415</v>
      </c>
      <c r="O4" s="55">
        <v>0.96670280494697003</v>
      </c>
      <c r="P4" s="51">
        <v>3145858.9548399998</v>
      </c>
      <c r="Q4" s="53">
        <v>0.75973455126879397</v>
      </c>
      <c r="R4" s="54">
        <v>3344068.7110491446</v>
      </c>
      <c r="S4" s="53">
        <v>0.74728754611916959</v>
      </c>
      <c r="T4" s="56">
        <v>198209.75620914483</v>
      </c>
      <c r="U4" s="54">
        <v>2505247.92</v>
      </c>
      <c r="V4" s="84">
        <f t="shared" ref="V4:V16" si="0">R4-M4</f>
        <v>1635655.7210491444</v>
      </c>
    </row>
    <row r="5" spans="2:22" x14ac:dyDescent="0.35">
      <c r="B5" s="57" t="s">
        <v>17</v>
      </c>
      <c r="C5" s="58" t="s">
        <v>5</v>
      </c>
      <c r="D5" s="59">
        <v>216529.82</v>
      </c>
      <c r="E5" s="60">
        <v>200693.9</v>
      </c>
      <c r="F5" s="60">
        <v>246333.41</v>
      </c>
      <c r="G5" s="60">
        <v>205198.53</v>
      </c>
      <c r="H5" s="60">
        <v>260494.34000000003</v>
      </c>
      <c r="I5" s="61">
        <v>177127.62</v>
      </c>
      <c r="J5" s="61">
        <v>171177.66999999998</v>
      </c>
      <c r="K5" s="59">
        <v>1455596.5975544229</v>
      </c>
      <c r="L5" s="53">
        <v>0.63881479840884625</v>
      </c>
      <c r="M5" s="62">
        <v>1477555.2900000003</v>
      </c>
      <c r="N5" s="53">
        <v>0.65227695138300257</v>
      </c>
      <c r="O5" s="55">
        <v>1.0150856992125914</v>
      </c>
      <c r="P5" s="60">
        <v>2648975.8931119107</v>
      </c>
      <c r="Q5" s="53">
        <v>0.63973577339788523</v>
      </c>
      <c r="R5" s="62">
        <v>2893417.2785851131</v>
      </c>
      <c r="S5" s="53">
        <v>0.64658201874515819</v>
      </c>
      <c r="T5" s="63">
        <v>244441.38547320245</v>
      </c>
      <c r="U5" s="62">
        <v>2235204.25</v>
      </c>
      <c r="V5" s="84">
        <f t="shared" si="0"/>
        <v>1415861.9885851128</v>
      </c>
    </row>
    <row r="6" spans="2:22" x14ac:dyDescent="0.35">
      <c r="B6" s="57" t="s">
        <v>17</v>
      </c>
      <c r="C6" s="49" t="s">
        <v>6</v>
      </c>
      <c r="D6" s="50">
        <v>38194</v>
      </c>
      <c r="E6" s="51">
        <v>21006</v>
      </c>
      <c r="F6" s="51">
        <v>26813</v>
      </c>
      <c r="G6" s="51">
        <v>35147</v>
      </c>
      <c r="H6" s="51">
        <v>35978</v>
      </c>
      <c r="I6" s="52">
        <v>35568</v>
      </c>
      <c r="J6" s="52">
        <v>30329.4</v>
      </c>
      <c r="K6" s="50">
        <v>164207.18571391489</v>
      </c>
      <c r="L6" s="53">
        <v>7.2065282658230798E-2</v>
      </c>
      <c r="M6" s="54">
        <v>223035.4</v>
      </c>
      <c r="N6" s="53">
        <v>9.8460512271245373E-2</v>
      </c>
      <c r="O6" s="55">
        <v>1.3582560289936203</v>
      </c>
      <c r="P6" s="51">
        <v>250665.72725095582</v>
      </c>
      <c r="Q6" s="53">
        <v>6.0536539159988086E-2</v>
      </c>
      <c r="R6" s="54">
        <v>374682.40000000008</v>
      </c>
      <c r="S6" s="53">
        <v>8.3728988685222744E-2</v>
      </c>
      <c r="T6" s="56">
        <v>124016.67274904426</v>
      </c>
      <c r="U6" s="54">
        <v>246033.86</v>
      </c>
      <c r="V6" s="84">
        <f t="shared" si="0"/>
        <v>151647.00000000009</v>
      </c>
    </row>
    <row r="7" spans="2:22" x14ac:dyDescent="0.35">
      <c r="B7" s="57" t="s">
        <v>17</v>
      </c>
      <c r="C7" s="49" t="s">
        <v>7</v>
      </c>
      <c r="D7" s="50">
        <v>50814</v>
      </c>
      <c r="E7" s="51">
        <v>42341</v>
      </c>
      <c r="F7" s="51">
        <v>51528.1</v>
      </c>
      <c r="G7" s="51">
        <v>41359</v>
      </c>
      <c r="H7" s="51">
        <v>57361</v>
      </c>
      <c r="I7" s="52">
        <v>40999</v>
      </c>
      <c r="J7" s="52">
        <v>42206</v>
      </c>
      <c r="K7" s="50">
        <v>243430.72223999986</v>
      </c>
      <c r="L7" s="53">
        <v>0.10683395936452175</v>
      </c>
      <c r="M7" s="54">
        <v>326608.09999999998</v>
      </c>
      <c r="N7" s="53">
        <v>0.14418339347896403</v>
      </c>
      <c r="O7" s="55">
        <v>1.3416880868389118</v>
      </c>
      <c r="P7" s="51">
        <v>660340.23503999982</v>
      </c>
      <c r="Q7" s="53">
        <v>0.159474184747218</v>
      </c>
      <c r="R7" s="54">
        <v>743517.61279999989</v>
      </c>
      <c r="S7" s="53">
        <v>0.16615132653520689</v>
      </c>
      <c r="T7" s="56">
        <v>83177.377760000061</v>
      </c>
      <c r="U7" s="54">
        <v>444170.54</v>
      </c>
      <c r="V7" s="84">
        <f t="shared" si="0"/>
        <v>416909.51279999991</v>
      </c>
    </row>
    <row r="8" spans="2:22" x14ac:dyDescent="0.35">
      <c r="B8" s="57" t="s">
        <v>17</v>
      </c>
      <c r="C8" s="49" t="s">
        <v>52</v>
      </c>
      <c r="D8" s="50">
        <v>4145</v>
      </c>
      <c r="E8" s="51">
        <v>5807</v>
      </c>
      <c r="F8" s="51">
        <v>9874</v>
      </c>
      <c r="G8" s="51">
        <v>10624</v>
      </c>
      <c r="H8" s="51">
        <v>9433</v>
      </c>
      <c r="I8" s="52">
        <v>11394</v>
      </c>
      <c r="J8" s="52">
        <v>6829</v>
      </c>
      <c r="K8" s="50">
        <v>16146.725250990508</v>
      </c>
      <c r="L8" s="53">
        <v>7.0862813594814496E-3</v>
      </c>
      <c r="M8" s="54">
        <v>58106</v>
      </c>
      <c r="N8" s="53">
        <v>2.5651293588519954E-2</v>
      </c>
      <c r="O8" s="55">
        <v>3.5986244329286232</v>
      </c>
      <c r="P8" s="51">
        <v>88518.358799999958</v>
      </c>
      <c r="Q8" s="53">
        <v>2.137745416033392E-2</v>
      </c>
      <c r="R8" s="54">
        <v>89587.690000000017</v>
      </c>
      <c r="S8" s="53">
        <v>2.0019853300676099E-2</v>
      </c>
      <c r="T8" s="56">
        <v>1069.3312000000587</v>
      </c>
      <c r="U8" s="54">
        <v>33418.94</v>
      </c>
      <c r="V8" s="84">
        <f t="shared" si="0"/>
        <v>31481.690000000017</v>
      </c>
    </row>
    <row r="9" spans="2:22" x14ac:dyDescent="0.35">
      <c r="B9" s="57" t="s">
        <v>17</v>
      </c>
      <c r="C9" s="49" t="s">
        <v>53</v>
      </c>
      <c r="D9" s="50">
        <v>18782.11</v>
      </c>
      <c r="E9" s="51">
        <v>18680.490000000002</v>
      </c>
      <c r="F9" s="51">
        <v>29851.888999999999</v>
      </c>
      <c r="G9" s="51">
        <v>20022.141</v>
      </c>
      <c r="H9" s="51">
        <v>20979.71</v>
      </c>
      <c r="I9" s="52">
        <v>21560</v>
      </c>
      <c r="J9" s="52">
        <v>22156.22</v>
      </c>
      <c r="K9" s="50">
        <v>213809.25788888888</v>
      </c>
      <c r="L9" s="53">
        <v>9.3834045920218531E-2</v>
      </c>
      <c r="M9" s="54">
        <v>152032.56</v>
      </c>
      <c r="N9" s="53">
        <v>6.7115819908000474E-2</v>
      </c>
      <c r="O9" s="55">
        <v>0.71106630976198126</v>
      </c>
      <c r="P9" s="51">
        <v>329416.93341220391</v>
      </c>
      <c r="Q9" s="53">
        <v>7.9555196109862392E-2</v>
      </c>
      <c r="R9" s="54">
        <v>262813.66000000003</v>
      </c>
      <c r="S9" s="53">
        <v>5.8730065688866025E-2</v>
      </c>
      <c r="T9" s="56">
        <v>-66603.273412203882</v>
      </c>
      <c r="U9" s="54">
        <v>278611.63</v>
      </c>
      <c r="V9" s="84">
        <f t="shared" si="0"/>
        <v>110781.10000000003</v>
      </c>
    </row>
    <row r="10" spans="2:22" x14ac:dyDescent="0.35">
      <c r="B10" s="57" t="s">
        <v>17</v>
      </c>
      <c r="C10" s="49" t="s">
        <v>54</v>
      </c>
      <c r="D10" s="50">
        <v>13074</v>
      </c>
      <c r="E10" s="51">
        <v>14021.92</v>
      </c>
      <c r="F10" s="51">
        <v>13349.3</v>
      </c>
      <c r="G10" s="51">
        <v>18674</v>
      </c>
      <c r="H10" s="51">
        <v>22805</v>
      </c>
      <c r="I10" s="52">
        <v>23438</v>
      </c>
      <c r="J10" s="52">
        <v>19763</v>
      </c>
      <c r="K10" s="50">
        <v>214655.67519717617</v>
      </c>
      <c r="L10" s="53">
        <v>9.4205511409401282E-2</v>
      </c>
      <c r="M10" s="54">
        <v>125125.22</v>
      </c>
      <c r="N10" s="53">
        <v>5.5237389487284426E-2</v>
      </c>
      <c r="O10" s="55">
        <v>0.58291130614209841</v>
      </c>
      <c r="P10" s="51">
        <v>306096.57463141053</v>
      </c>
      <c r="Q10" s="53">
        <v>7.3923258197803515E-2</v>
      </c>
      <c r="R10" s="54">
        <v>199668.52458486799</v>
      </c>
      <c r="S10" s="53">
        <v>4.4619239216364383E-2</v>
      </c>
      <c r="T10" s="56">
        <v>-106428.05004654254</v>
      </c>
      <c r="U10" s="54">
        <v>83849.070000000007</v>
      </c>
      <c r="V10" s="84">
        <f t="shared" si="0"/>
        <v>74543.30458486799</v>
      </c>
    </row>
    <row r="11" spans="2:22" x14ac:dyDescent="0.35">
      <c r="B11" s="57" t="s">
        <v>17</v>
      </c>
      <c r="C11" s="49" t="s">
        <v>55</v>
      </c>
      <c r="D11" s="50">
        <v>14954</v>
      </c>
      <c r="E11" s="51">
        <v>11794</v>
      </c>
      <c r="F11" s="51">
        <v>6663</v>
      </c>
      <c r="G11" s="51">
        <v>7963</v>
      </c>
      <c r="H11" s="51">
        <v>5820</v>
      </c>
      <c r="I11" s="52">
        <v>6897</v>
      </c>
      <c r="J11" s="52">
        <v>6438</v>
      </c>
      <c r="K11" s="50">
        <v>16899.442919418201</v>
      </c>
      <c r="L11" s="53">
        <v>7.4166250731334971E-3</v>
      </c>
      <c r="M11" s="54">
        <v>60529</v>
      </c>
      <c r="N11" s="53">
        <v>2.6720943613732218E-2</v>
      </c>
      <c r="O11" s="55">
        <v>3.5817156984772276</v>
      </c>
      <c r="P11" s="51">
        <v>47586.799999999988</v>
      </c>
      <c r="Q11" s="53">
        <v>1.1492357624201437E-2</v>
      </c>
      <c r="R11" s="54">
        <v>91216.357080581787</v>
      </c>
      <c r="S11" s="53">
        <v>2.0383805937794965E-2</v>
      </c>
      <c r="T11" s="56">
        <v>43629.557080581799</v>
      </c>
      <c r="U11" s="54">
        <v>186106.41</v>
      </c>
      <c r="V11" s="84">
        <f t="shared" si="0"/>
        <v>30687.357080581787</v>
      </c>
    </row>
    <row r="12" spans="2:22" x14ac:dyDescent="0.35">
      <c r="B12" s="57" t="s">
        <v>17</v>
      </c>
      <c r="C12" s="64" t="s">
        <v>12</v>
      </c>
      <c r="D12" s="65">
        <v>139963.10999999999</v>
      </c>
      <c r="E12" s="66">
        <v>113650.41</v>
      </c>
      <c r="F12" s="66">
        <v>138079.28899999999</v>
      </c>
      <c r="G12" s="66">
        <v>133789.141</v>
      </c>
      <c r="H12" s="66">
        <v>152376.71</v>
      </c>
      <c r="I12" s="67">
        <v>139856</v>
      </c>
      <c r="J12" s="67">
        <v>127721.62</v>
      </c>
      <c r="K12" s="65">
        <v>869149.00921038841</v>
      </c>
      <c r="L12" s="53">
        <v>0.38144170578498726</v>
      </c>
      <c r="M12" s="68">
        <v>945436.28</v>
      </c>
      <c r="N12" s="53">
        <v>0.41736935234774647</v>
      </c>
      <c r="O12" s="55">
        <v>1.0877723727245776</v>
      </c>
      <c r="P12" s="66">
        <v>1682624.62913457</v>
      </c>
      <c r="Q12" s="53">
        <v>0.40635898999940734</v>
      </c>
      <c r="R12" s="68">
        <v>1761486.2444654496</v>
      </c>
      <c r="S12" s="53">
        <v>0.39363327936413106</v>
      </c>
      <c r="T12" s="56">
        <v>78861.615330879577</v>
      </c>
      <c r="U12" s="68">
        <v>1272190.4499999997</v>
      </c>
      <c r="V12" s="84">
        <f t="shared" si="0"/>
        <v>816049.96446544956</v>
      </c>
    </row>
    <row r="13" spans="2:22" x14ac:dyDescent="0.35">
      <c r="B13" s="57" t="s">
        <v>17</v>
      </c>
      <c r="C13" s="69" t="s">
        <v>13</v>
      </c>
      <c r="D13" s="70">
        <v>76566.710000000021</v>
      </c>
      <c r="E13" s="71">
        <v>87043.489999999991</v>
      </c>
      <c r="F13" s="71">
        <v>108254.12100000001</v>
      </c>
      <c r="G13" s="71">
        <v>71409.388999999996</v>
      </c>
      <c r="H13" s="71">
        <v>108117.63000000003</v>
      </c>
      <c r="I13" s="72">
        <v>37271.619999999995</v>
      </c>
      <c r="J13" s="72">
        <v>43456.049999999988</v>
      </c>
      <c r="K13" s="70">
        <v>586447.58834403451</v>
      </c>
      <c r="L13" s="53">
        <v>0.25737309262385893</v>
      </c>
      <c r="M13" s="73">
        <v>532119.01000000024</v>
      </c>
      <c r="N13" s="53">
        <v>0.23490759903525613</v>
      </c>
      <c r="O13" s="55">
        <v>0.90735987422602737</v>
      </c>
      <c r="P13" s="71">
        <v>966351.26397734066</v>
      </c>
      <c r="Q13" s="53">
        <v>0.23337678339847792</v>
      </c>
      <c r="R13" s="73">
        <v>1131931.0341196635</v>
      </c>
      <c r="S13" s="53">
        <v>0.25294873938102713</v>
      </c>
      <c r="T13" s="74">
        <v>165579.77014232287</v>
      </c>
      <c r="U13" s="73">
        <v>963013.80000000028</v>
      </c>
      <c r="V13" s="84">
        <f t="shared" si="0"/>
        <v>599812.02411966329</v>
      </c>
    </row>
    <row r="14" spans="2:22" x14ac:dyDescent="0.35">
      <c r="B14" s="57" t="s">
        <v>17</v>
      </c>
      <c r="C14" s="49" t="s">
        <v>14</v>
      </c>
      <c r="D14" s="50">
        <v>13948.1234</v>
      </c>
      <c r="E14" s="51">
        <v>6455.0865999999996</v>
      </c>
      <c r="F14" s="51">
        <v>-617.66999999999996</v>
      </c>
      <c r="G14" s="51">
        <v>-1453.23</v>
      </c>
      <c r="H14" s="51">
        <v>-945.28</v>
      </c>
      <c r="I14" s="52">
        <v>-1199.25</v>
      </c>
      <c r="J14" s="52">
        <v>-973.8</v>
      </c>
      <c r="K14" s="50">
        <v>38603.249096296291</v>
      </c>
      <c r="L14" s="53">
        <v>1.6941731542110844E-2</v>
      </c>
      <c r="M14" s="54">
        <v>15213.980000000003</v>
      </c>
      <c r="N14" s="53">
        <v>6.716316174403175E-3</v>
      </c>
      <c r="O14" s="55">
        <v>0.39411138585896072</v>
      </c>
      <c r="P14" s="51">
        <v>59292.286522664217</v>
      </c>
      <c r="Q14" s="53">
        <v>1.4319268391131078E-2</v>
      </c>
      <c r="R14" s="54">
        <v>15213.980000000003</v>
      </c>
      <c r="S14" s="53">
        <v>3.3998158421030852E-3</v>
      </c>
      <c r="T14" s="56">
        <v>-44078.306522664214</v>
      </c>
      <c r="U14" s="54">
        <v>259318.77</v>
      </c>
      <c r="V14" s="84">
        <f t="shared" si="0"/>
        <v>0</v>
      </c>
    </row>
    <row r="15" spans="2:22" x14ac:dyDescent="0.35">
      <c r="B15" s="57" t="s">
        <v>17</v>
      </c>
      <c r="C15" s="49" t="s">
        <v>56</v>
      </c>
      <c r="D15" s="50">
        <v>190</v>
      </c>
      <c r="E15" s="51">
        <v>862</v>
      </c>
      <c r="F15" s="51">
        <v>1323.21</v>
      </c>
      <c r="G15" s="51">
        <v>509</v>
      </c>
      <c r="H15" s="51">
        <v>417</v>
      </c>
      <c r="I15" s="52">
        <v>239</v>
      </c>
      <c r="J15" s="52">
        <v>223</v>
      </c>
      <c r="K15" s="50">
        <v>6134.9517283950618</v>
      </c>
      <c r="L15" s="53">
        <v>2.69243412509156E-3</v>
      </c>
      <c r="M15" s="54">
        <v>3763.21</v>
      </c>
      <c r="N15" s="53">
        <v>1.6612949531073242E-3</v>
      </c>
      <c r="O15" s="55">
        <v>0.61340498941211341</v>
      </c>
      <c r="P15" s="51">
        <v>11049.998010465884</v>
      </c>
      <c r="Q15" s="53">
        <v>2.6686082880754401E-3</v>
      </c>
      <c r="R15" s="54">
        <v>4878.21</v>
      </c>
      <c r="S15" s="53">
        <v>1.0901168293310289E-3</v>
      </c>
      <c r="T15" s="56">
        <v>-6171.7880104658843</v>
      </c>
      <c r="U15" s="54">
        <v>0</v>
      </c>
      <c r="V15" s="84">
        <f t="shared" si="0"/>
        <v>1115</v>
      </c>
    </row>
    <row r="16" spans="2:22" ht="15" thickBot="1" x14ac:dyDescent="0.4">
      <c r="B16" s="75" t="s">
        <v>17</v>
      </c>
      <c r="C16" s="76" t="s">
        <v>16</v>
      </c>
      <c r="D16" s="77">
        <v>62428.586600000024</v>
      </c>
      <c r="E16" s="78">
        <v>79726.403399999996</v>
      </c>
      <c r="F16" s="78">
        <v>107548.58100000001</v>
      </c>
      <c r="G16" s="78">
        <v>72353.618999999992</v>
      </c>
      <c r="H16" s="78">
        <v>108645.91000000003</v>
      </c>
      <c r="I16" s="79">
        <v>38231.869999999995</v>
      </c>
      <c r="J16" s="79">
        <v>44206.849999999991</v>
      </c>
      <c r="K16" s="77">
        <v>541709.38751934317</v>
      </c>
      <c r="L16" s="80">
        <v>0.23773892695665655</v>
      </c>
      <c r="M16" s="81">
        <v>513141.82000000024</v>
      </c>
      <c r="N16" s="80">
        <v>0.22652998790774562</v>
      </c>
      <c r="O16" s="82">
        <v>0.94726403459581388</v>
      </c>
      <c r="P16" s="78">
        <v>896008.97944421053</v>
      </c>
      <c r="Q16" s="80">
        <v>0.21638890671927141</v>
      </c>
      <c r="R16" s="81">
        <v>1111838.8441196636</v>
      </c>
      <c r="S16" s="80">
        <v>0.24845880670959303</v>
      </c>
      <c r="T16" s="83">
        <v>215829.86467545305</v>
      </c>
      <c r="U16" s="81">
        <v>703695.03000000026</v>
      </c>
      <c r="V16" s="84">
        <f t="shared" si="0"/>
        <v>598697.02411966329</v>
      </c>
    </row>
  </sheetData>
  <conditionalFormatting sqref="C2">
    <cfRule type="duplicateValues" dxfId="38" priority="14"/>
  </conditionalFormatting>
  <conditionalFormatting sqref="K1">
    <cfRule type="duplicateValues" dxfId="37" priority="7"/>
  </conditionalFormatting>
  <conditionalFormatting sqref="L2:L16">
    <cfRule type="cellIs" dxfId="36" priority="4" operator="lessThan">
      <formula>0</formula>
    </cfRule>
  </conditionalFormatting>
  <conditionalFormatting sqref="N2:O16">
    <cfRule type="cellIs" dxfId="35" priority="3" operator="lessThan">
      <formula>0</formula>
    </cfRule>
  </conditionalFormatting>
  <conditionalFormatting sqref="P1">
    <cfRule type="duplicateValues" dxfId="34" priority="13"/>
  </conditionalFormatting>
  <conditionalFormatting sqref="Q2:Q16">
    <cfRule type="cellIs" dxfId="33" priority="2" operator="lessThan">
      <formula>0</formula>
    </cfRule>
  </conditionalFormatting>
  <conditionalFormatting sqref="S2:S16">
    <cfRule type="cellIs" dxfId="32" priority="1" operator="lessThan">
      <formula>0</formula>
    </cfRule>
  </conditionalFormatting>
  <conditionalFormatting sqref="T3 T5 T13 T16">
    <cfRule type="cellIs" dxfId="31" priority="11" operator="lessThan">
      <formula>0</formula>
    </cfRule>
  </conditionalFormatting>
  <conditionalFormatting sqref="T4 T6:T12 T14:T15">
    <cfRule type="cellIs" dxfId="30" priority="9" operator="greaterThan">
      <formula>0</formula>
    </cfRule>
    <cfRule type="cellIs" dxfId="29" priority="10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DE8F-C6AB-451C-AC76-7987C5205F2B}">
  <sheetPr>
    <tabColor rgb="FFFFC000"/>
  </sheetPr>
  <dimension ref="A1:U28"/>
  <sheetViews>
    <sheetView showGridLines="0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27" sqref="P27"/>
    </sheetView>
  </sheetViews>
  <sheetFormatPr defaultRowHeight="14.5" x14ac:dyDescent="0.35"/>
  <cols>
    <col min="1" max="1" width="27.81640625" customWidth="1"/>
    <col min="2" max="2" width="16.54296875" customWidth="1"/>
    <col min="4" max="4" width="12.1796875" bestFit="1" customWidth="1"/>
    <col min="6" max="6" width="13.453125" bestFit="1" customWidth="1"/>
    <col min="8" max="8" width="13.453125" hidden="1" customWidth="1"/>
    <col min="9" max="9" width="0" hidden="1" customWidth="1"/>
    <col min="10" max="10" width="13.453125" hidden="1" customWidth="1"/>
    <col min="11" max="11" width="0" hidden="1" customWidth="1"/>
    <col min="12" max="12" width="18.1796875" customWidth="1"/>
    <col min="13" max="13" width="12.1796875" customWidth="1"/>
    <col min="16" max="17" width="9.54296875" customWidth="1"/>
    <col min="21" max="21" width="12.1796875" bestFit="1" customWidth="1"/>
  </cols>
  <sheetData>
    <row r="1" spans="1:21" ht="34.5" customHeight="1" thickBot="1" x14ac:dyDescent="0.4">
      <c r="A1" s="1" t="s">
        <v>17</v>
      </c>
      <c r="B1" s="2"/>
      <c r="C1" s="2"/>
      <c r="D1" s="104" t="s">
        <v>74</v>
      </c>
      <c r="E1" s="2"/>
      <c r="F1" s="2"/>
      <c r="G1" s="2"/>
      <c r="H1" s="2"/>
      <c r="I1" s="2"/>
      <c r="J1" s="2"/>
      <c r="K1" s="2"/>
      <c r="L1" s="103" t="s">
        <v>75</v>
      </c>
      <c r="N1" s="125" t="s">
        <v>73</v>
      </c>
      <c r="O1" s="125"/>
      <c r="P1" s="125"/>
      <c r="Q1" s="103"/>
      <c r="U1" s="104" t="s">
        <v>121</v>
      </c>
    </row>
    <row r="2" spans="1:21" x14ac:dyDescent="0.35">
      <c r="A2" s="3" t="s">
        <v>0</v>
      </c>
      <c r="B2" s="4" t="s">
        <v>1</v>
      </c>
      <c r="C2" s="5" t="s">
        <v>2</v>
      </c>
      <c r="D2" s="6" t="s">
        <v>18</v>
      </c>
      <c r="E2" s="5" t="s">
        <v>2</v>
      </c>
      <c r="F2" s="6" t="s">
        <v>68</v>
      </c>
      <c r="G2" s="5" t="s">
        <v>2</v>
      </c>
      <c r="H2" s="6" t="s">
        <v>19</v>
      </c>
      <c r="I2" s="85" t="s">
        <v>2</v>
      </c>
      <c r="J2" s="6" t="s">
        <v>20</v>
      </c>
      <c r="K2" s="85" t="s">
        <v>2</v>
      </c>
      <c r="L2" s="101" t="s">
        <v>67</v>
      </c>
      <c r="M2" s="5" t="s">
        <v>2</v>
      </c>
      <c r="N2" s="6" t="s">
        <v>57</v>
      </c>
      <c r="O2" s="6"/>
      <c r="P2" s="6" t="s">
        <v>58</v>
      </c>
      <c r="Q2" t="s">
        <v>76</v>
      </c>
      <c r="R2" t="s">
        <v>76</v>
      </c>
      <c r="U2" s="6" t="s">
        <v>18</v>
      </c>
    </row>
    <row r="3" spans="1:21" x14ac:dyDescent="0.35">
      <c r="A3" s="7" t="s">
        <v>3</v>
      </c>
      <c r="B3" s="8">
        <v>3635846.29</v>
      </c>
      <c r="C3" s="9">
        <v>1</v>
      </c>
      <c r="D3" s="8">
        <f t="shared" ref="D3:D8" si="0">N3+P3</f>
        <v>4474942.3811699217</v>
      </c>
      <c r="E3" s="9">
        <f>D3/D$3</f>
        <v>1</v>
      </c>
      <c r="F3" s="8">
        <f>D3*1.02</f>
        <v>4564441.2287933202</v>
      </c>
      <c r="G3" s="9">
        <f>F3/F$3</f>
        <v>1</v>
      </c>
      <c r="H3" s="8">
        <f>F3*1.02</f>
        <v>4655730.0533691868</v>
      </c>
      <c r="I3" s="86">
        <f>H3/H$3</f>
        <v>1</v>
      </c>
      <c r="J3" s="8">
        <f>H3*1.02</f>
        <v>4748844.6544365706</v>
      </c>
      <c r="K3" s="86">
        <f>J3/J$3</f>
        <v>1</v>
      </c>
      <c r="L3" s="8">
        <f>N3*1.02</f>
        <v>2310531.4278000002</v>
      </c>
      <c r="M3" s="9">
        <f>L3/L$3</f>
        <v>1</v>
      </c>
      <c r="N3" s="8">
        <f>'YR''26'!M3</f>
        <v>2265226.89</v>
      </c>
      <c r="O3" s="8"/>
      <c r="P3" s="8">
        <v>2209715.4911699216</v>
      </c>
      <c r="Q3" s="109"/>
      <c r="U3" s="8">
        <f>N3+P3*90%</f>
        <v>4253970.8320529293</v>
      </c>
    </row>
    <row r="4" spans="1:21" x14ac:dyDescent="0.35">
      <c r="A4" s="7" t="s">
        <v>4</v>
      </c>
      <c r="B4" s="8">
        <v>2505247.92</v>
      </c>
      <c r="C4" s="9">
        <v>0.68904120806493163</v>
      </c>
      <c r="D4" s="8">
        <f t="shared" si="0"/>
        <v>3344068.7110491446</v>
      </c>
      <c r="E4" s="9">
        <f t="shared" ref="E4:G16" si="1">D4/D$3</f>
        <v>0.74728754611916959</v>
      </c>
      <c r="F4" s="8">
        <f>F3*74%</f>
        <v>3377686.5093070571</v>
      </c>
      <c r="G4" s="9">
        <f t="shared" si="1"/>
        <v>0.74</v>
      </c>
      <c r="H4" s="8">
        <f>H3*74%</f>
        <v>3445240.2394931982</v>
      </c>
      <c r="I4" s="86">
        <f t="shared" ref="I4" si="2">H4/H$3</f>
        <v>0.74</v>
      </c>
      <c r="J4" s="8">
        <f>J3*74%</f>
        <v>3514145.0442830622</v>
      </c>
      <c r="K4" s="86">
        <f t="shared" ref="K4:K16" si="3">J4/J$3</f>
        <v>0.74</v>
      </c>
      <c r="L4" s="8">
        <f>N4*1.02</f>
        <v>1742581.2498000003</v>
      </c>
      <c r="M4" s="9">
        <f t="shared" ref="M4:M16" si="4">L4/L$3</f>
        <v>0.75419067182272426</v>
      </c>
      <c r="N4" s="8">
        <f>'YR''26'!M4</f>
        <v>1708412.9900000002</v>
      </c>
      <c r="O4" s="8"/>
      <c r="P4" s="8">
        <v>1635655.7210491444</v>
      </c>
      <c r="Q4" s="109"/>
      <c r="U4" s="8">
        <f>N4+P4*90%</f>
        <v>3180503.13894423</v>
      </c>
    </row>
    <row r="5" spans="1:21" x14ac:dyDescent="0.35">
      <c r="A5" s="10" t="s">
        <v>5</v>
      </c>
      <c r="B5" s="11">
        <v>2235204.25</v>
      </c>
      <c r="C5" s="9">
        <v>0.6147686325415983</v>
      </c>
      <c r="D5" s="11">
        <f t="shared" si="0"/>
        <v>2893417.2785851131</v>
      </c>
      <c r="E5" s="9">
        <f t="shared" si="1"/>
        <v>0.64658201874515819</v>
      </c>
      <c r="F5" s="11">
        <f>F3*64%</f>
        <v>2921242.3864277252</v>
      </c>
      <c r="G5" s="9">
        <f t="shared" si="1"/>
        <v>0.64</v>
      </c>
      <c r="H5" s="11">
        <f>H3*64%</f>
        <v>2979667.2341562798</v>
      </c>
      <c r="I5" s="86">
        <f t="shared" ref="I5" si="5">H5/H$3</f>
        <v>0.64</v>
      </c>
      <c r="J5" s="11">
        <f>J3*64%</f>
        <v>3039260.5788394054</v>
      </c>
      <c r="K5" s="86">
        <f t="shared" si="3"/>
        <v>0.64</v>
      </c>
      <c r="L5" s="11">
        <f>N5/N3*L3</f>
        <v>1507106.3958000003</v>
      </c>
      <c r="M5" s="9">
        <f t="shared" si="4"/>
        <v>0.65227695138300257</v>
      </c>
      <c r="N5" s="11">
        <f>'YR''26'!M5</f>
        <v>1477555.2900000003</v>
      </c>
      <c r="O5" s="11"/>
      <c r="P5" s="11">
        <v>1415861.9885851128</v>
      </c>
      <c r="Q5" s="110"/>
      <c r="U5" s="11">
        <f>U3*65%</f>
        <v>2765081.0408344041</v>
      </c>
    </row>
    <row r="6" spans="1:21" x14ac:dyDescent="0.35">
      <c r="A6" s="7" t="s">
        <v>6</v>
      </c>
      <c r="B6" s="8">
        <v>246033.86</v>
      </c>
      <c r="C6" s="9">
        <f>B6/$B$3</f>
        <v>6.7668938776837009E-2</v>
      </c>
      <c r="D6" s="8">
        <f t="shared" si="0"/>
        <v>374682.40000000008</v>
      </c>
      <c r="E6" s="9">
        <f t="shared" si="1"/>
        <v>8.3728988685222744E-2</v>
      </c>
      <c r="F6" s="8">
        <f>D6*1.02</f>
        <v>382176.04800000007</v>
      </c>
      <c r="G6" s="9">
        <f t="shared" si="1"/>
        <v>8.372898868522273E-2</v>
      </c>
      <c r="H6" s="8">
        <f>F6*1.02</f>
        <v>389819.56896000006</v>
      </c>
      <c r="I6" s="86">
        <f t="shared" ref="I6" si="6">H6/H$3</f>
        <v>8.372898868522273E-2</v>
      </c>
      <c r="J6" s="8">
        <f>H6*1.02</f>
        <v>397615.96033920004</v>
      </c>
      <c r="K6" s="86">
        <f t="shared" si="3"/>
        <v>8.372898868522273E-2</v>
      </c>
      <c r="L6" s="8">
        <f t="shared" ref="L6:L11" si="7">N6*1.02</f>
        <v>227496.10800000001</v>
      </c>
      <c r="M6" s="9">
        <f t="shared" si="4"/>
        <v>9.8460512271245373E-2</v>
      </c>
      <c r="N6" s="8">
        <f>'YR''26'!M6</f>
        <v>223035.4</v>
      </c>
      <c r="O6" s="8"/>
      <c r="P6" s="8">
        <v>151647.00000000009</v>
      </c>
      <c r="Q6" s="109"/>
      <c r="U6" s="8">
        <f>N6+P6</f>
        <v>374682.40000000008</v>
      </c>
    </row>
    <row r="7" spans="1:21" x14ac:dyDescent="0.35">
      <c r="A7" s="7" t="s">
        <v>7</v>
      </c>
      <c r="B7" s="8">
        <f>B3*14%</f>
        <v>509018.48060000007</v>
      </c>
      <c r="C7" s="9">
        <f t="shared" ref="C7:C16" si="8">B7/$B$3</f>
        <v>0.14000000000000001</v>
      </c>
      <c r="D7" s="8">
        <f t="shared" si="0"/>
        <v>695403.1</v>
      </c>
      <c r="E7" s="9">
        <f t="shared" si="1"/>
        <v>0.15539934165994668</v>
      </c>
      <c r="F7" s="102">
        <f>F18</f>
        <v>885108</v>
      </c>
      <c r="G7" s="9">
        <f t="shared" si="1"/>
        <v>0.19391376854993306</v>
      </c>
      <c r="H7" s="8">
        <f>H18</f>
        <v>919289</v>
      </c>
      <c r="I7" s="86">
        <f t="shared" ref="I7" si="9">H7/H$3</f>
        <v>0.1974532435218711</v>
      </c>
      <c r="J7" s="8">
        <f>J18</f>
        <v>955179.05</v>
      </c>
      <c r="K7" s="86">
        <f t="shared" si="3"/>
        <v>0.20113924954517759</v>
      </c>
      <c r="L7" s="8">
        <f>F7/12*7</f>
        <v>516313</v>
      </c>
      <c r="M7" s="9">
        <f t="shared" si="4"/>
        <v>0.2234607128852662</v>
      </c>
      <c r="N7" s="8">
        <f>'YR''26'!M7</f>
        <v>326608.09999999998</v>
      </c>
      <c r="O7" s="105">
        <f>N7/N3</f>
        <v>0.14418339347896403</v>
      </c>
      <c r="P7" s="8">
        <f>F18/12*5</f>
        <v>368795</v>
      </c>
      <c r="Q7" s="114">
        <f>P7/P3</f>
        <v>0.16689705144110817</v>
      </c>
      <c r="R7" s="28" t="s">
        <v>77</v>
      </c>
      <c r="U7" s="8">
        <f t="shared" ref="U7:U11" si="10">N7+P7</f>
        <v>695403.1</v>
      </c>
    </row>
    <row r="8" spans="1:21" x14ac:dyDescent="0.35">
      <c r="A8" s="7" t="s">
        <v>8</v>
      </c>
      <c r="B8" s="8">
        <v>33418.94</v>
      </c>
      <c r="C8" s="9">
        <f t="shared" si="8"/>
        <v>9.1915161793047085E-3</v>
      </c>
      <c r="D8" s="8">
        <f t="shared" si="0"/>
        <v>89587.690000000017</v>
      </c>
      <c r="E8" s="9">
        <f t="shared" si="1"/>
        <v>2.0019853300676099E-2</v>
      </c>
      <c r="F8" s="8">
        <f t="shared" ref="F8:F11" si="11">D8*1.02</f>
        <v>91379.443800000023</v>
      </c>
      <c r="G8" s="9">
        <f t="shared" si="1"/>
        <v>2.0019853300676099E-2</v>
      </c>
      <c r="H8" s="8">
        <f t="shared" ref="H8:H11" si="12">F8*1.02</f>
        <v>93207.032676000032</v>
      </c>
      <c r="I8" s="86">
        <f t="shared" ref="I8" si="13">H8/H$3</f>
        <v>2.0019853300676099E-2</v>
      </c>
      <c r="J8" s="8">
        <f t="shared" ref="J8:J11" si="14">H8*1.02</f>
        <v>95071.173329520039</v>
      </c>
      <c r="K8" s="86">
        <f t="shared" si="3"/>
        <v>2.0019853300676103E-2</v>
      </c>
      <c r="L8" s="8">
        <f t="shared" si="7"/>
        <v>59268.12</v>
      </c>
      <c r="M8" s="9">
        <f t="shared" si="4"/>
        <v>2.5651293588519954E-2</v>
      </c>
      <c r="N8" s="8">
        <f>'YR''26'!M8</f>
        <v>58106</v>
      </c>
      <c r="O8" s="8"/>
      <c r="P8" s="8">
        <v>31481.690000000017</v>
      </c>
      <c r="Q8" s="109"/>
      <c r="U8" s="8">
        <f t="shared" si="10"/>
        <v>89587.690000000017</v>
      </c>
    </row>
    <row r="9" spans="1:21" x14ac:dyDescent="0.35">
      <c r="A9" s="7" t="s">
        <v>9</v>
      </c>
      <c r="B9" s="8">
        <v>278611.63</v>
      </c>
      <c r="C9" s="9">
        <f t="shared" si="8"/>
        <v>7.6629100291255706E-2</v>
      </c>
      <c r="D9" s="8">
        <f>N9+P9+2500*5</f>
        <v>275313.66000000003</v>
      </c>
      <c r="E9" s="9">
        <f t="shared" si="1"/>
        <v>6.1523397744402346E-2</v>
      </c>
      <c r="F9" s="8">
        <f t="shared" si="11"/>
        <v>280819.93320000003</v>
      </c>
      <c r="G9" s="9">
        <f t="shared" si="1"/>
        <v>6.1523397744402346E-2</v>
      </c>
      <c r="H9" s="8">
        <f t="shared" si="12"/>
        <v>286436.33186400001</v>
      </c>
      <c r="I9" s="86">
        <f t="shared" ref="I9" si="15">H9/H$3</f>
        <v>6.1523397744402339E-2</v>
      </c>
      <c r="J9" s="8">
        <f t="shared" si="14"/>
        <v>292165.05850128003</v>
      </c>
      <c r="K9" s="86">
        <f t="shared" si="3"/>
        <v>6.1523397744402346E-2</v>
      </c>
      <c r="L9" s="8">
        <f t="shared" si="7"/>
        <v>155073.21119999999</v>
      </c>
      <c r="M9" s="9">
        <f t="shared" si="4"/>
        <v>6.711581990800046E-2</v>
      </c>
      <c r="N9" s="8">
        <f>'YR''26'!M9</f>
        <v>152032.56</v>
      </c>
      <c r="O9" s="8"/>
      <c r="P9" s="8">
        <v>110781.10000000003</v>
      </c>
      <c r="Q9" s="109"/>
      <c r="U9" s="8">
        <f t="shared" si="10"/>
        <v>262813.66000000003</v>
      </c>
    </row>
    <row r="10" spans="1:21" x14ac:dyDescent="0.35">
      <c r="A10" s="7" t="s">
        <v>10</v>
      </c>
      <c r="B10" s="8">
        <v>183849.07</v>
      </c>
      <c r="C10" s="9">
        <f t="shared" si="8"/>
        <v>5.0565688243107768E-2</v>
      </c>
      <c r="D10" s="8">
        <f>N10+P10</f>
        <v>199668.52458486799</v>
      </c>
      <c r="E10" s="9">
        <f t="shared" si="1"/>
        <v>4.4619239216364383E-2</v>
      </c>
      <c r="F10" s="8">
        <f t="shared" si="11"/>
        <v>203661.89507656536</v>
      </c>
      <c r="G10" s="9">
        <f t="shared" si="1"/>
        <v>4.4619239216364383E-2</v>
      </c>
      <c r="H10" s="8">
        <f t="shared" si="12"/>
        <v>207735.13297809666</v>
      </c>
      <c r="I10" s="86">
        <f t="shared" ref="I10" si="16">H10/H$3</f>
        <v>4.4619239216364383E-2</v>
      </c>
      <c r="J10" s="8">
        <f t="shared" si="14"/>
        <v>211889.8356376586</v>
      </c>
      <c r="K10" s="86">
        <f t="shared" si="3"/>
        <v>4.4619239216364383E-2</v>
      </c>
      <c r="L10" s="8">
        <f t="shared" si="7"/>
        <v>127627.72440000001</v>
      </c>
      <c r="M10" s="9">
        <f t="shared" si="4"/>
        <v>5.5237389487284426E-2</v>
      </c>
      <c r="N10" s="8">
        <f>'YR''26'!M10</f>
        <v>125125.22</v>
      </c>
      <c r="O10" s="8"/>
      <c r="P10" s="8">
        <v>74543.30458486799</v>
      </c>
      <c r="Q10" s="109"/>
      <c r="U10" s="8">
        <f t="shared" si="10"/>
        <v>199668.52458486799</v>
      </c>
    </row>
    <row r="11" spans="1:21" x14ac:dyDescent="0.35">
      <c r="A11" s="7" t="s">
        <v>11</v>
      </c>
      <c r="B11" s="8">
        <v>86106.41</v>
      </c>
      <c r="C11" s="9">
        <f t="shared" si="8"/>
        <v>2.3682632083987246E-2</v>
      </c>
      <c r="D11" s="8">
        <f>N11+P11</f>
        <v>91216.357080581787</v>
      </c>
      <c r="E11" s="9">
        <f t="shared" si="1"/>
        <v>2.0383805937794965E-2</v>
      </c>
      <c r="F11" s="8">
        <f t="shared" si="11"/>
        <v>93040.68422219342</v>
      </c>
      <c r="G11" s="9">
        <f t="shared" si="1"/>
        <v>2.0383805937794965E-2</v>
      </c>
      <c r="H11" s="8">
        <f t="shared" si="12"/>
        <v>94901.497906637291</v>
      </c>
      <c r="I11" s="86">
        <f t="shared" ref="I11" si="17">H11/H$3</f>
        <v>2.0383805937794965E-2</v>
      </c>
      <c r="J11" s="8">
        <f t="shared" si="14"/>
        <v>96799.527864770032</v>
      </c>
      <c r="K11" s="86">
        <f t="shared" si="3"/>
        <v>2.0383805937794961E-2</v>
      </c>
      <c r="L11" s="8">
        <f t="shared" si="7"/>
        <v>61739.58</v>
      </c>
      <c r="M11" s="9">
        <f t="shared" si="4"/>
        <v>2.6720943613732218E-2</v>
      </c>
      <c r="N11" s="8">
        <f>'YR''26'!M11</f>
        <v>60529</v>
      </c>
      <c r="O11" s="8"/>
      <c r="P11" s="8">
        <v>30687.357080581787</v>
      </c>
      <c r="Q11" s="109"/>
      <c r="U11" s="8">
        <f t="shared" si="10"/>
        <v>91216.357080581787</v>
      </c>
    </row>
    <row r="12" spans="1:21" x14ac:dyDescent="0.35">
      <c r="A12" s="12" t="s">
        <v>12</v>
      </c>
      <c r="B12" s="13">
        <f>SUM(B6:B11)</f>
        <v>1337038.3906</v>
      </c>
      <c r="C12" s="9">
        <f t="shared" si="8"/>
        <v>0.36773787557449245</v>
      </c>
      <c r="D12" s="13">
        <f>SUM(D6:D11)</f>
        <v>1725871.7316654499</v>
      </c>
      <c r="E12" s="9">
        <f t="shared" si="1"/>
        <v>0.38567462654440721</v>
      </c>
      <c r="F12" s="13">
        <f>SUM(F6:F11)</f>
        <v>1936186.0042987589</v>
      </c>
      <c r="G12" s="9">
        <f t="shared" si="1"/>
        <v>0.42418905343439361</v>
      </c>
      <c r="H12" s="13">
        <f>SUM(H6:H11)</f>
        <v>1991388.564384734</v>
      </c>
      <c r="I12" s="86">
        <f t="shared" ref="I12" si="18">H12/H$3</f>
        <v>0.42772852840633163</v>
      </c>
      <c r="J12" s="13">
        <f>SUM(J6:J11)</f>
        <v>2048720.6056724286</v>
      </c>
      <c r="K12" s="86">
        <f t="shared" si="3"/>
        <v>0.43141453442963806</v>
      </c>
      <c r="L12" s="13">
        <f>SUM(L6:L11)</f>
        <v>1147517.7436000002</v>
      </c>
      <c r="M12" s="9">
        <f t="shared" si="4"/>
        <v>0.4966466717540487</v>
      </c>
      <c r="N12" s="13">
        <f>'YR''26'!M12</f>
        <v>945436.28</v>
      </c>
      <c r="O12" s="13"/>
      <c r="P12" s="13">
        <v>816049.96446544956</v>
      </c>
      <c r="Q12" s="111"/>
      <c r="U12" s="13">
        <f>SUM(U6:U11)</f>
        <v>1713371.7316654499</v>
      </c>
    </row>
    <row r="13" spans="1:21" x14ac:dyDescent="0.35">
      <c r="A13" s="14" t="s">
        <v>13</v>
      </c>
      <c r="B13" s="15">
        <f>B5-B12</f>
        <v>898165.85939999996</v>
      </c>
      <c r="C13" s="9">
        <f t="shared" si="8"/>
        <v>0.2470307564624796</v>
      </c>
      <c r="D13" s="15">
        <f>D5-D12</f>
        <v>1167545.5469196632</v>
      </c>
      <c r="E13" s="9">
        <f t="shared" si="1"/>
        <v>0.26090739220075099</v>
      </c>
      <c r="F13" s="15">
        <f>F5-F12</f>
        <v>985056.38212896627</v>
      </c>
      <c r="G13" s="9">
        <f t="shared" si="1"/>
        <v>0.21581094656560645</v>
      </c>
      <c r="H13" s="15">
        <f>H5-H12</f>
        <v>988278.6697715458</v>
      </c>
      <c r="I13" s="86">
        <f t="shared" ref="I13" si="19">H13/H$3</f>
        <v>0.21227147159366844</v>
      </c>
      <c r="J13" s="15">
        <f>J5-J12</f>
        <v>990539.97316697682</v>
      </c>
      <c r="K13" s="86">
        <f t="shared" si="3"/>
        <v>0.20858546557036198</v>
      </c>
      <c r="L13" s="15">
        <f>L5-L12</f>
        <v>359588.65220000013</v>
      </c>
      <c r="M13" s="9">
        <f t="shared" si="4"/>
        <v>0.1556302796289539</v>
      </c>
      <c r="N13" s="15">
        <f>'YR''26'!M13</f>
        <v>532119.01000000024</v>
      </c>
      <c r="O13" s="15"/>
      <c r="P13" s="15">
        <v>599812.02411966329</v>
      </c>
      <c r="Q13" s="112"/>
      <c r="U13" s="15">
        <f>U5-U12</f>
        <v>1051709.3091689541</v>
      </c>
    </row>
    <row r="14" spans="1:21" x14ac:dyDescent="0.35">
      <c r="A14" s="7" t="s">
        <v>14</v>
      </c>
      <c r="B14" s="8">
        <v>259318.77207626193</v>
      </c>
      <c r="C14" s="9">
        <f t="shared" si="8"/>
        <v>7.1322809434901033E-2</v>
      </c>
      <c r="D14" s="8">
        <f>N14+P14</f>
        <v>15213.980000000003</v>
      </c>
      <c r="E14" s="9">
        <f t="shared" si="1"/>
        <v>3.3998158421030852E-3</v>
      </c>
      <c r="F14" s="8">
        <f>D14</f>
        <v>15213.980000000003</v>
      </c>
      <c r="G14" s="9">
        <f t="shared" si="1"/>
        <v>3.3331527863755738E-3</v>
      </c>
      <c r="H14" s="8"/>
      <c r="I14" s="86">
        <f t="shared" ref="I14" si="20">H14/H$3</f>
        <v>0</v>
      </c>
      <c r="J14" s="8"/>
      <c r="K14" s="86">
        <f t="shared" si="3"/>
        <v>0</v>
      </c>
      <c r="L14" s="8">
        <f>P14</f>
        <v>0</v>
      </c>
      <c r="M14" s="9">
        <f t="shared" si="4"/>
        <v>0</v>
      </c>
      <c r="N14" s="8">
        <f>'YR''26'!M14</f>
        <v>15213.980000000003</v>
      </c>
      <c r="O14" s="8"/>
      <c r="P14" s="8">
        <v>0</v>
      </c>
      <c r="Q14" s="109"/>
      <c r="U14" s="8">
        <f>N14+P14</f>
        <v>15213.980000000003</v>
      </c>
    </row>
    <row r="15" spans="1:21" x14ac:dyDescent="0.35">
      <c r="A15" s="7" t="s">
        <v>15</v>
      </c>
      <c r="B15" s="8">
        <v>0</v>
      </c>
      <c r="C15" s="9">
        <f t="shared" si="8"/>
        <v>0</v>
      </c>
      <c r="D15" s="8">
        <f>N15+P15</f>
        <v>4878.21</v>
      </c>
      <c r="E15" s="9">
        <f t="shared" si="1"/>
        <v>1.0901168293310289E-3</v>
      </c>
      <c r="F15" s="8">
        <f>D15</f>
        <v>4878.21</v>
      </c>
      <c r="G15" s="9">
        <f t="shared" si="1"/>
        <v>1.0687419895402245E-3</v>
      </c>
      <c r="H15" s="8">
        <v>0</v>
      </c>
      <c r="I15" s="86">
        <f t="shared" ref="I15" si="21">H15/H$3</f>
        <v>0</v>
      </c>
      <c r="J15" s="8">
        <v>0</v>
      </c>
      <c r="K15" s="86">
        <f t="shared" si="3"/>
        <v>0</v>
      </c>
      <c r="L15" s="8">
        <f>P15</f>
        <v>1115</v>
      </c>
      <c r="M15" s="9">
        <f t="shared" si="4"/>
        <v>4.8257296420402317E-4</v>
      </c>
      <c r="N15" s="8">
        <f>'YR''26'!M15</f>
        <v>3763.21</v>
      </c>
      <c r="O15" s="8"/>
      <c r="P15" s="8">
        <v>1115</v>
      </c>
      <c r="Q15" s="109"/>
      <c r="U15" s="8">
        <f>N15+P15</f>
        <v>4878.21</v>
      </c>
    </row>
    <row r="16" spans="1:21" ht="15" thickBot="1" x14ac:dyDescent="0.4">
      <c r="A16" s="16" t="s">
        <v>16</v>
      </c>
      <c r="B16" s="17">
        <f>B13-B14</f>
        <v>638847.08732373803</v>
      </c>
      <c r="C16" s="87">
        <f t="shared" si="8"/>
        <v>0.17570794702757855</v>
      </c>
      <c r="D16" s="17">
        <f>D13-D14-D15</f>
        <v>1147453.3569196633</v>
      </c>
      <c r="E16" s="87">
        <f t="shared" si="1"/>
        <v>0.25641745952931688</v>
      </c>
      <c r="F16" s="17">
        <f>F13-F14-F15</f>
        <v>964964.19212896633</v>
      </c>
      <c r="G16" s="87">
        <f t="shared" si="1"/>
        <v>0.21140905178969066</v>
      </c>
      <c r="H16" s="17">
        <f>H13-H14</f>
        <v>988278.6697715458</v>
      </c>
      <c r="I16" s="88">
        <f t="shared" ref="I16" si="22">H16/H$3</f>
        <v>0.21227147159366844</v>
      </c>
      <c r="J16" s="17">
        <f>J13-J14</f>
        <v>990539.97316697682</v>
      </c>
      <c r="K16" s="88">
        <f t="shared" si="3"/>
        <v>0.20858546557036198</v>
      </c>
      <c r="L16" s="17">
        <f>L13-L14-L15</f>
        <v>358473.65220000013</v>
      </c>
      <c r="M16" s="87">
        <f t="shared" si="4"/>
        <v>0.15514770666474986</v>
      </c>
      <c r="N16" s="17">
        <f>'YR''26'!M16</f>
        <v>513141.82000000024</v>
      </c>
      <c r="O16" s="17"/>
      <c r="P16" s="17">
        <v>598697.02411966329</v>
      </c>
      <c r="Q16" s="113"/>
      <c r="U16" s="17">
        <f>U13-U14-U15</f>
        <v>1031617.1191689542</v>
      </c>
    </row>
    <row r="17" spans="1:21" x14ac:dyDescent="0.35">
      <c r="A17" t="s">
        <v>39</v>
      </c>
      <c r="B17" s="106">
        <v>3598</v>
      </c>
      <c r="C17" s="107"/>
      <c r="D17" s="106">
        <v>3598</v>
      </c>
      <c r="F17" s="26">
        <v>3598</v>
      </c>
      <c r="H17" s="26">
        <v>3598</v>
      </c>
      <c r="J17" s="26">
        <v>3598</v>
      </c>
      <c r="L17" s="26">
        <v>3598</v>
      </c>
      <c r="U17" s="106">
        <v>3598</v>
      </c>
    </row>
    <row r="18" spans="1:21" x14ac:dyDescent="0.35">
      <c r="A18" t="s">
        <v>7</v>
      </c>
      <c r="B18" s="106">
        <f>B7</f>
        <v>509018.48060000007</v>
      </c>
      <c r="C18" s="107"/>
      <c r="D18" s="106">
        <f>D7</f>
        <v>695403.1</v>
      </c>
      <c r="F18" s="26">
        <f>F17*F26</f>
        <v>885108</v>
      </c>
      <c r="H18" s="26">
        <f>H17*H26</f>
        <v>919289</v>
      </c>
      <c r="J18" s="26">
        <f>J17*J26</f>
        <v>955179.05</v>
      </c>
      <c r="L18" s="26">
        <f>L17*L26</f>
        <v>885108</v>
      </c>
      <c r="P18" s="27"/>
      <c r="Q18" s="27"/>
      <c r="U18" s="106">
        <v>695403.1</v>
      </c>
    </row>
    <row r="19" spans="1:21" hidden="1" x14ac:dyDescent="0.35">
      <c r="A19" t="s">
        <v>37</v>
      </c>
      <c r="B19" s="106">
        <f>B18/B17</f>
        <v>141.47261828793776</v>
      </c>
      <c r="C19" s="107"/>
      <c r="D19" s="106">
        <f>D18/D17</f>
        <v>193.27490272373541</v>
      </c>
      <c r="F19" s="26">
        <f>F18/F17</f>
        <v>246</v>
      </c>
      <c r="H19" s="26">
        <f>H18/H17</f>
        <v>255.5</v>
      </c>
      <c r="J19" s="26">
        <f>J18/J17</f>
        <v>265.47500000000002</v>
      </c>
      <c r="L19" s="26">
        <f>L18/L17</f>
        <v>246</v>
      </c>
      <c r="U19" s="106">
        <v>193.27490272373541</v>
      </c>
    </row>
    <row r="20" spans="1:21" hidden="1" x14ac:dyDescent="0.35">
      <c r="A20" t="s">
        <v>38</v>
      </c>
      <c r="B20" s="106">
        <f>B19/12</f>
        <v>11.789384857328146</v>
      </c>
      <c r="C20" s="107"/>
      <c r="D20" s="106">
        <f>D19/12</f>
        <v>16.106241893644619</v>
      </c>
      <c r="F20" s="26">
        <f>F19/12</f>
        <v>20.5</v>
      </c>
      <c r="H20" s="26">
        <f>H19/12</f>
        <v>21.291666666666668</v>
      </c>
      <c r="J20" s="26">
        <f>J19/12</f>
        <v>22.122916666666669</v>
      </c>
      <c r="L20" s="26">
        <f>L19/12</f>
        <v>20.5</v>
      </c>
      <c r="U20" s="106">
        <v>16.106241893644619</v>
      </c>
    </row>
    <row r="21" spans="1:21" hidden="1" x14ac:dyDescent="0.35">
      <c r="A21" t="s">
        <v>42</v>
      </c>
      <c r="B21" s="107"/>
      <c r="C21" s="107"/>
      <c r="D21" s="107"/>
      <c r="F21" s="30">
        <f>F18/D18-1</f>
        <v>0.2727984675363111</v>
      </c>
      <c r="H21" s="30">
        <f>H18/F18-1</f>
        <v>3.8617886178861749E-2</v>
      </c>
      <c r="J21" s="30">
        <f>J18/H18-1</f>
        <v>3.9041095890411048E-2</v>
      </c>
      <c r="L21" s="30"/>
      <c r="U21" s="107"/>
    </row>
    <row r="22" spans="1:21" hidden="1" x14ac:dyDescent="0.35">
      <c r="B22" s="107"/>
      <c r="C22" s="107"/>
      <c r="D22" s="108">
        <f>D19*1.2</f>
        <v>231.92988326848248</v>
      </c>
      <c r="F22" s="29">
        <f>F18</f>
        <v>885108</v>
      </c>
      <c r="H22" s="29">
        <f>H18</f>
        <v>919289</v>
      </c>
      <c r="J22" s="29">
        <f>J18</f>
        <v>955179.05</v>
      </c>
      <c r="L22" s="29">
        <f>L18</f>
        <v>885108</v>
      </c>
      <c r="U22" s="108">
        <v>231.92988326848248</v>
      </c>
    </row>
    <row r="23" spans="1:21" x14ac:dyDescent="0.35">
      <c r="A23" t="s">
        <v>25</v>
      </c>
      <c r="B23" s="107"/>
      <c r="C23" s="107"/>
      <c r="D23" s="107">
        <v>190</v>
      </c>
      <c r="F23">
        <v>190</v>
      </c>
      <c r="H23">
        <f>F23*1.05</f>
        <v>199.5</v>
      </c>
      <c r="J23">
        <f>H23*1.05</f>
        <v>209.47500000000002</v>
      </c>
      <c r="L23">
        <v>190</v>
      </c>
      <c r="U23" s="107">
        <v>190</v>
      </c>
    </row>
    <row r="24" spans="1:21" x14ac:dyDescent="0.35">
      <c r="A24" t="s">
        <v>40</v>
      </c>
      <c r="B24" s="107"/>
      <c r="C24" s="107"/>
      <c r="D24" s="107">
        <v>41</v>
      </c>
      <c r="F24">
        <v>41</v>
      </c>
      <c r="H24">
        <v>41</v>
      </c>
      <c r="J24">
        <v>41</v>
      </c>
      <c r="L24">
        <v>41</v>
      </c>
      <c r="U24" s="107">
        <v>41</v>
      </c>
    </row>
    <row r="25" spans="1:21" x14ac:dyDescent="0.35">
      <c r="A25" t="s">
        <v>41</v>
      </c>
      <c r="B25" s="107"/>
      <c r="C25" s="107"/>
      <c r="D25" s="107">
        <v>15</v>
      </c>
      <c r="F25">
        <v>15</v>
      </c>
      <c r="H25">
        <v>15</v>
      </c>
      <c r="J25">
        <v>15</v>
      </c>
      <c r="L25">
        <v>15</v>
      </c>
      <c r="U25" s="107">
        <v>15</v>
      </c>
    </row>
    <row r="26" spans="1:21" x14ac:dyDescent="0.35">
      <c r="B26" s="107"/>
      <c r="C26" s="107"/>
      <c r="D26" s="107">
        <f>SUM(D23:D25)</f>
        <v>246</v>
      </c>
      <c r="F26">
        <f>SUM(F23:F25)</f>
        <v>246</v>
      </c>
      <c r="H26">
        <f>SUM(H23:H25)</f>
        <v>255.5</v>
      </c>
      <c r="J26">
        <f>SUM(J23:J25)</f>
        <v>265.47500000000002</v>
      </c>
      <c r="L26">
        <f>SUM(L23:L25)</f>
        <v>246</v>
      </c>
      <c r="U26" s="107">
        <v>246</v>
      </c>
    </row>
    <row r="28" spans="1:21" x14ac:dyDescent="0.35">
      <c r="A28" s="28" t="s">
        <v>70</v>
      </c>
    </row>
  </sheetData>
  <mergeCells count="1">
    <mergeCell ref="N1:P1"/>
  </mergeCells>
  <conditionalFormatting sqref="A1">
    <cfRule type="duplicateValues" dxfId="28" priority="45"/>
  </conditionalFormatting>
  <conditionalFormatting sqref="B16">
    <cfRule type="cellIs" dxfId="27" priority="19" operator="lessThan">
      <formula>0</formula>
    </cfRule>
  </conditionalFormatting>
  <conditionalFormatting sqref="C2:C16 E2:E16">
    <cfRule type="cellIs" dxfId="26" priority="44" operator="lessThan">
      <formula>0</formula>
    </cfRule>
  </conditionalFormatting>
  <conditionalFormatting sqref="D16">
    <cfRule type="cellIs" dxfId="25" priority="43" operator="lessThan">
      <formula>0</formula>
    </cfRule>
  </conditionalFormatting>
  <conditionalFormatting sqref="F16">
    <cfRule type="cellIs" dxfId="24" priority="7" operator="lessThan">
      <formula>0</formula>
    </cfRule>
  </conditionalFormatting>
  <conditionalFormatting sqref="G2:G16">
    <cfRule type="cellIs" dxfId="23" priority="12" operator="lessThan">
      <formula>0</formula>
    </cfRule>
  </conditionalFormatting>
  <conditionalFormatting sqref="H16">
    <cfRule type="cellIs" dxfId="22" priority="17" operator="lessThan">
      <formula>0</formula>
    </cfRule>
  </conditionalFormatting>
  <conditionalFormatting sqref="I2:I16">
    <cfRule type="cellIs" dxfId="21" priority="11" operator="lessThan">
      <formula>0</formula>
    </cfRule>
  </conditionalFormatting>
  <conditionalFormatting sqref="J16">
    <cfRule type="cellIs" dxfId="20" priority="6" operator="lessThan">
      <formula>0</formula>
    </cfRule>
  </conditionalFormatting>
  <conditionalFormatting sqref="K2:K16">
    <cfRule type="cellIs" dxfId="19" priority="5" operator="lessThan">
      <formula>0</formula>
    </cfRule>
  </conditionalFormatting>
  <conditionalFormatting sqref="L16">
    <cfRule type="cellIs" dxfId="18" priority="3" operator="lessThan">
      <formula>0</formula>
    </cfRule>
  </conditionalFormatting>
  <conditionalFormatting sqref="M2:M16">
    <cfRule type="cellIs" dxfId="17" priority="4" operator="lessThan">
      <formula>0</formula>
    </cfRule>
  </conditionalFormatting>
  <conditionalFormatting sqref="N16:Q16">
    <cfRule type="cellIs" dxfId="16" priority="8" operator="lessThan">
      <formula>0</formula>
    </cfRule>
  </conditionalFormatting>
  <conditionalFormatting sqref="U16">
    <cfRule type="cellIs" dxfId="15" priority="1" operator="lessThan">
      <formula>0</formula>
    </cfRule>
  </conditionalFormatting>
  <pageMargins left="0.7" right="0.7" top="0.75" bottom="0.75" header="0.3" footer="0.3"/>
  <ignoredErrors>
    <ignoredError sqref="L6 L8:L11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666A-09AC-43B7-8013-C77E43AB1026}">
  <dimension ref="A1:H18"/>
  <sheetViews>
    <sheetView workbookViewId="0">
      <selection activeCell="G19" sqref="G19"/>
    </sheetView>
  </sheetViews>
  <sheetFormatPr defaultColWidth="9.1796875" defaultRowHeight="16" customHeight="1" x14ac:dyDescent="0.3"/>
  <cols>
    <col min="1" max="1" width="28.81640625" style="116" customWidth="1"/>
    <col min="2" max="2" width="14.26953125" style="116" bestFit="1" customWidth="1"/>
    <col min="3" max="3" width="13.81640625" style="116" bestFit="1" customWidth="1"/>
    <col min="4" max="4" width="11.7265625" style="116" bestFit="1" customWidth="1"/>
    <col min="5" max="5" width="12.81640625" style="116" bestFit="1" customWidth="1"/>
    <col min="6" max="6" width="16.54296875" style="116" bestFit="1" customWidth="1"/>
    <col min="7" max="7" width="12.54296875" style="116" bestFit="1" customWidth="1"/>
    <col min="8" max="16384" width="9.1796875" style="116"/>
  </cols>
  <sheetData>
    <row r="1" spans="1:8" ht="16" customHeight="1" x14ac:dyDescent="0.3">
      <c r="A1" s="123" t="s">
        <v>78</v>
      </c>
      <c r="B1" s="124"/>
      <c r="C1" s="124"/>
      <c r="D1" s="124"/>
      <c r="E1" s="124"/>
    </row>
    <row r="2" spans="1:8" ht="16" customHeight="1" x14ac:dyDescent="0.3">
      <c r="A2" s="115"/>
    </row>
    <row r="3" spans="1:8" ht="16" customHeight="1" x14ac:dyDescent="0.3">
      <c r="A3" s="117" t="s">
        <v>79</v>
      </c>
    </row>
    <row r="4" spans="1:8" ht="16" customHeight="1" x14ac:dyDescent="0.3">
      <c r="A4" s="118" t="s">
        <v>21</v>
      </c>
      <c r="B4" s="118" t="s">
        <v>24</v>
      </c>
      <c r="C4" s="118" t="s">
        <v>25</v>
      </c>
      <c r="D4" s="118" t="s">
        <v>26</v>
      </c>
      <c r="E4" s="118" t="s">
        <v>80</v>
      </c>
      <c r="F4" s="118" t="s">
        <v>27</v>
      </c>
      <c r="G4" s="118" t="s">
        <v>81</v>
      </c>
    </row>
    <row r="5" spans="1:8" ht="16" customHeight="1" x14ac:dyDescent="0.3">
      <c r="A5" s="119" t="s">
        <v>82</v>
      </c>
      <c r="B5" s="119" t="s">
        <v>83</v>
      </c>
      <c r="C5" s="119" t="s">
        <v>84</v>
      </c>
      <c r="D5" s="119" t="s">
        <v>85</v>
      </c>
      <c r="E5" s="119" t="s">
        <v>86</v>
      </c>
      <c r="F5" s="119" t="s">
        <v>87</v>
      </c>
      <c r="G5" s="115" t="s">
        <v>88</v>
      </c>
    </row>
    <row r="6" spans="1:8" ht="16" customHeight="1" x14ac:dyDescent="0.3">
      <c r="A6" s="119" t="s">
        <v>89</v>
      </c>
      <c r="B6" s="119" t="s">
        <v>90</v>
      </c>
      <c r="C6" s="119" t="s">
        <v>91</v>
      </c>
      <c r="D6" s="119" t="s">
        <v>92</v>
      </c>
      <c r="E6" s="119" t="s">
        <v>86</v>
      </c>
      <c r="F6" s="119" t="s">
        <v>93</v>
      </c>
      <c r="G6" s="115" t="s">
        <v>94</v>
      </c>
    </row>
    <row r="7" spans="1:8" ht="16" customHeight="1" x14ac:dyDescent="0.3">
      <c r="A7" s="119" t="s">
        <v>95</v>
      </c>
      <c r="B7" s="119" t="s">
        <v>96</v>
      </c>
      <c r="C7" s="119" t="s">
        <v>97</v>
      </c>
      <c r="D7" s="119" t="s">
        <v>98</v>
      </c>
      <c r="E7" s="119" t="s">
        <v>99</v>
      </c>
      <c r="F7" s="119" t="s">
        <v>100</v>
      </c>
      <c r="G7" s="115" t="s">
        <v>101</v>
      </c>
    </row>
    <row r="8" spans="1:8" ht="16" customHeight="1" x14ac:dyDescent="0.3">
      <c r="A8" s="119" t="s">
        <v>102</v>
      </c>
      <c r="B8" s="119" t="s">
        <v>103</v>
      </c>
      <c r="C8" s="119" t="s">
        <v>104</v>
      </c>
      <c r="D8" s="119" t="s">
        <v>105</v>
      </c>
      <c r="E8" s="119" t="s">
        <v>106</v>
      </c>
      <c r="F8" s="119" t="s">
        <v>107</v>
      </c>
      <c r="G8" s="115" t="s">
        <v>108</v>
      </c>
      <c r="H8" s="116" t="s">
        <v>123</v>
      </c>
    </row>
    <row r="9" spans="1:8" ht="16" customHeight="1" x14ac:dyDescent="0.3">
      <c r="A9" s="115"/>
    </row>
    <row r="10" spans="1:8" ht="16" customHeight="1" x14ac:dyDescent="0.3">
      <c r="A10" s="120" t="s">
        <v>120</v>
      </c>
    </row>
    <row r="11" spans="1:8" ht="16" customHeight="1" x14ac:dyDescent="0.3">
      <c r="A11" s="115"/>
    </row>
    <row r="12" spans="1:8" ht="16" customHeight="1" x14ac:dyDescent="0.3">
      <c r="A12" s="117" t="s">
        <v>109</v>
      </c>
    </row>
    <row r="13" spans="1:8" ht="16" customHeight="1" x14ac:dyDescent="0.3">
      <c r="A13" s="121"/>
    </row>
    <row r="14" spans="1:8" ht="16" customHeight="1" x14ac:dyDescent="0.3">
      <c r="A14" s="122" t="s">
        <v>110</v>
      </c>
      <c r="B14" s="122" t="s">
        <v>111</v>
      </c>
    </row>
    <row r="15" spans="1:8" ht="16" customHeight="1" x14ac:dyDescent="0.3">
      <c r="A15" s="122" t="s">
        <v>112</v>
      </c>
      <c r="B15" s="122" t="s">
        <v>113</v>
      </c>
    </row>
    <row r="16" spans="1:8" ht="16" customHeight="1" x14ac:dyDescent="0.3">
      <c r="A16" s="122" t="s">
        <v>114</v>
      </c>
      <c r="B16" s="122" t="s">
        <v>115</v>
      </c>
    </row>
    <row r="17" spans="1:2" ht="16" customHeight="1" x14ac:dyDescent="0.3">
      <c r="A17" s="122" t="s">
        <v>116</v>
      </c>
      <c r="B17" s="122" t="s">
        <v>117</v>
      </c>
    </row>
    <row r="18" spans="1:2" ht="16" customHeight="1" x14ac:dyDescent="0.3">
      <c r="A18" s="122" t="s">
        <v>118</v>
      </c>
      <c r="B18" s="122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3B45-0EFC-413B-AAFD-670ED7E7DF1F}">
  <sheetPr>
    <tabColor rgb="FFFFC000"/>
  </sheetPr>
  <dimension ref="A1:Q28"/>
  <sheetViews>
    <sheetView showGridLines="0" zoomScale="90" zoomScaleNormal="90" workbookViewId="0">
      <pane xSplit="1" ySplit="2" topLeftCell="E3" activePane="bottomRight" state="frozen"/>
      <selection pane="topRight" activeCell="B1" sqref="B1"/>
      <selection pane="bottomLeft" activeCell="A3" sqref="A3"/>
      <selection pane="bottomRight" activeCell="O1" sqref="O1:O1048576"/>
    </sheetView>
  </sheetViews>
  <sheetFormatPr defaultRowHeight="14.5" x14ac:dyDescent="0.35"/>
  <cols>
    <col min="1" max="1" width="27.81640625" customWidth="1"/>
    <col min="2" max="2" width="16.54296875" customWidth="1"/>
    <col min="4" max="4" width="12.1796875" bestFit="1" customWidth="1"/>
    <col min="6" max="6" width="13.453125" bestFit="1" customWidth="1"/>
    <col min="8" max="8" width="13.453125" customWidth="1"/>
    <col min="9" max="9" width="8.7265625" customWidth="1"/>
    <col min="10" max="10" width="13.453125" customWidth="1"/>
    <col min="11" max="11" width="8.7265625" customWidth="1"/>
    <col min="12" max="12" width="13.453125" customWidth="1"/>
    <col min="14" max="14" width="13.453125" customWidth="1"/>
    <col min="17" max="17" width="9.54296875" customWidth="1"/>
  </cols>
  <sheetData>
    <row r="1" spans="1:17" ht="24" thickBot="1" x14ac:dyDescent="0.4">
      <c r="A1" s="1" t="s">
        <v>17</v>
      </c>
      <c r="B1" s="2"/>
      <c r="C1" s="2"/>
      <c r="D1" s="3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25" t="s">
        <v>69</v>
      </c>
      <c r="Q1" s="125"/>
    </row>
    <row r="2" spans="1:17" x14ac:dyDescent="0.35">
      <c r="A2" s="3" t="s">
        <v>0</v>
      </c>
      <c r="B2" s="4" t="s">
        <v>1</v>
      </c>
      <c r="C2" s="5" t="s">
        <v>2</v>
      </c>
      <c r="D2" s="6" t="s">
        <v>18</v>
      </c>
      <c r="E2" s="5" t="s">
        <v>2</v>
      </c>
      <c r="F2" s="6" t="s">
        <v>68</v>
      </c>
      <c r="G2" s="5" t="s">
        <v>2</v>
      </c>
      <c r="H2" s="6" t="s">
        <v>19</v>
      </c>
      <c r="I2" s="85" t="s">
        <v>2</v>
      </c>
      <c r="J2" s="6" t="s">
        <v>20</v>
      </c>
      <c r="K2" s="85" t="s">
        <v>2</v>
      </c>
      <c r="L2" s="6" t="s">
        <v>71</v>
      </c>
      <c r="M2" s="85" t="s">
        <v>2</v>
      </c>
      <c r="N2" s="6" t="s">
        <v>72</v>
      </c>
      <c r="O2" s="85" t="s">
        <v>2</v>
      </c>
      <c r="P2" s="6" t="s">
        <v>57</v>
      </c>
      <c r="Q2" s="6" t="s">
        <v>58</v>
      </c>
    </row>
    <row r="3" spans="1:17" x14ac:dyDescent="0.35">
      <c r="A3" s="7" t="s">
        <v>3</v>
      </c>
      <c r="B3" s="8">
        <v>3635846.29</v>
      </c>
      <c r="C3" s="9">
        <v>1</v>
      </c>
      <c r="D3" s="8">
        <f>P3+Q3</f>
        <v>4474942.3811699217</v>
      </c>
      <c r="E3" s="9">
        <f>D3/D$3</f>
        <v>1</v>
      </c>
      <c r="F3" s="8">
        <f>D3*1.02</f>
        <v>4564441.2287933202</v>
      </c>
      <c r="G3" s="9">
        <f>F3/F$3</f>
        <v>1</v>
      </c>
      <c r="H3" s="8">
        <f>F3*1.02</f>
        <v>4655730.0533691868</v>
      </c>
      <c r="I3" s="86">
        <f>H3/H$3</f>
        <v>1</v>
      </c>
      <c r="J3" s="8">
        <f>H3*1.02</f>
        <v>4748844.6544365706</v>
      </c>
      <c r="K3" s="86">
        <f>J3/J$3</f>
        <v>1</v>
      </c>
      <c r="L3" s="8">
        <f>J3*1.02</f>
        <v>4843821.5475253025</v>
      </c>
      <c r="M3" s="86">
        <f t="shared" ref="M3:M16" si="0">L3/L$3</f>
        <v>1</v>
      </c>
      <c r="N3" s="8">
        <f>L3*1.02</f>
        <v>4940697.9784758091</v>
      </c>
      <c r="O3" s="86">
        <f t="shared" ref="O3:O16" si="1">N3/N$3</f>
        <v>1</v>
      </c>
      <c r="P3" s="8">
        <f>'YR''26'!M3</f>
        <v>2265226.89</v>
      </c>
      <c r="Q3" s="8">
        <v>2209715.4911699216</v>
      </c>
    </row>
    <row r="4" spans="1:17" x14ac:dyDescent="0.35">
      <c r="A4" s="7" t="s">
        <v>4</v>
      </c>
      <c r="B4" s="8">
        <v>2505247.92</v>
      </c>
      <c r="C4" s="9">
        <v>0.68904120806493163</v>
      </c>
      <c r="D4" s="8">
        <f>P4+Q4</f>
        <v>3344068.7110491446</v>
      </c>
      <c r="E4" s="9">
        <f t="shared" ref="E4:G16" si="2">D4/D$3</f>
        <v>0.74728754611916959</v>
      </c>
      <c r="F4" s="8">
        <f>F3*74%</f>
        <v>3377686.5093070571</v>
      </c>
      <c r="G4" s="9">
        <f t="shared" si="2"/>
        <v>0.74</v>
      </c>
      <c r="H4" s="8">
        <f>H3*74%</f>
        <v>3445240.2394931982</v>
      </c>
      <c r="I4" s="86">
        <f t="shared" ref="I4:I16" si="3">H4/H$3</f>
        <v>0.74</v>
      </c>
      <c r="J4" s="8">
        <f>J3*74%</f>
        <v>3514145.0442830622</v>
      </c>
      <c r="K4" s="86">
        <f t="shared" ref="K4:K16" si="4">J4/J$3</f>
        <v>0.74</v>
      </c>
      <c r="L4" s="8">
        <f>L3*74%</f>
        <v>3584427.9451687238</v>
      </c>
      <c r="M4" s="86">
        <f t="shared" si="0"/>
        <v>0.74</v>
      </c>
      <c r="N4" s="8">
        <f>N3*74%</f>
        <v>3656116.5040720985</v>
      </c>
      <c r="O4" s="86">
        <f t="shared" si="1"/>
        <v>0.74</v>
      </c>
      <c r="P4" s="8">
        <f>'YR''26'!M4</f>
        <v>1708412.9900000002</v>
      </c>
      <c r="Q4" s="8">
        <v>1635655.7210491444</v>
      </c>
    </row>
    <row r="5" spans="1:17" x14ac:dyDescent="0.35">
      <c r="A5" s="10" t="s">
        <v>5</v>
      </c>
      <c r="B5" s="11">
        <v>2235204.25</v>
      </c>
      <c r="C5" s="9">
        <v>0.6147686325415983</v>
      </c>
      <c r="D5" s="11">
        <f>D3*64%</f>
        <v>2863963.1239487501</v>
      </c>
      <c r="E5" s="9">
        <f t="shared" si="2"/>
        <v>0.64</v>
      </c>
      <c r="F5" s="11">
        <f>F3*64%</f>
        <v>2921242.3864277252</v>
      </c>
      <c r="G5" s="9">
        <f t="shared" si="2"/>
        <v>0.64</v>
      </c>
      <c r="H5" s="11">
        <f>H3*64%</f>
        <v>2979667.2341562798</v>
      </c>
      <c r="I5" s="86">
        <f t="shared" si="3"/>
        <v>0.64</v>
      </c>
      <c r="J5" s="11">
        <f>J3*64%</f>
        <v>3039260.5788394054</v>
      </c>
      <c r="K5" s="86">
        <f t="shared" si="4"/>
        <v>0.64</v>
      </c>
      <c r="L5" s="11">
        <f>L3*64%</f>
        <v>3100045.7904161937</v>
      </c>
      <c r="M5" s="86">
        <f t="shared" si="0"/>
        <v>0.64</v>
      </c>
      <c r="N5" s="11">
        <f>N3*64%</f>
        <v>3162046.7062245179</v>
      </c>
      <c r="O5" s="86">
        <f t="shared" si="1"/>
        <v>0.64</v>
      </c>
      <c r="P5" s="11">
        <f>'YR''26'!M5</f>
        <v>1477555.2900000003</v>
      </c>
      <c r="Q5" s="11">
        <v>1415861.9885851128</v>
      </c>
    </row>
    <row r="6" spans="1:17" x14ac:dyDescent="0.35">
      <c r="A6" s="7" t="s">
        <v>6</v>
      </c>
      <c r="B6" s="8">
        <v>246033.86</v>
      </c>
      <c r="C6" s="9">
        <f>B6/$B$3</f>
        <v>6.7668938776837009E-2</v>
      </c>
      <c r="D6" s="8">
        <f>P6+Q6</f>
        <v>374682.40000000008</v>
      </c>
      <c r="E6" s="9">
        <f t="shared" si="2"/>
        <v>8.3728988685222744E-2</v>
      </c>
      <c r="F6" s="8">
        <f>D6*1.02</f>
        <v>382176.04800000007</v>
      </c>
      <c r="G6" s="9">
        <f t="shared" si="2"/>
        <v>8.372898868522273E-2</v>
      </c>
      <c r="H6" s="8">
        <f>F6*1.02</f>
        <v>389819.56896000006</v>
      </c>
      <c r="I6" s="86">
        <f t="shared" si="3"/>
        <v>8.372898868522273E-2</v>
      </c>
      <c r="J6" s="8">
        <f>H6*1.02</f>
        <v>397615.96033920004</v>
      </c>
      <c r="K6" s="86">
        <f t="shared" si="4"/>
        <v>8.372898868522273E-2</v>
      </c>
      <c r="L6" s="8">
        <f>J6*1.02</f>
        <v>405568.27954598406</v>
      </c>
      <c r="M6" s="86">
        <f t="shared" si="0"/>
        <v>8.3728988685222716E-2</v>
      </c>
      <c r="N6" s="8">
        <f>L6*1.02</f>
        <v>413679.64513690374</v>
      </c>
      <c r="O6" s="86">
        <f t="shared" si="1"/>
        <v>8.3728988685222716E-2</v>
      </c>
      <c r="P6" s="8">
        <f>'YR''26'!M6</f>
        <v>223035.4</v>
      </c>
      <c r="Q6" s="8">
        <v>151647.00000000009</v>
      </c>
    </row>
    <row r="7" spans="1:17" x14ac:dyDescent="0.35">
      <c r="A7" s="7" t="s">
        <v>7</v>
      </c>
      <c r="B7" s="8">
        <v>444170.54</v>
      </c>
      <c r="C7" s="9">
        <f t="shared" ref="C7:C16" si="5">B7/$B$3</f>
        <v>0.12216427884249198</v>
      </c>
      <c r="D7" s="8">
        <f>P7+Q7</f>
        <v>695403.1</v>
      </c>
      <c r="E7" s="9">
        <f t="shared" si="2"/>
        <v>0.15539934165994668</v>
      </c>
      <c r="F7" s="8">
        <f>F18</f>
        <v>885108</v>
      </c>
      <c r="G7" s="9">
        <f t="shared" si="2"/>
        <v>0.19391376854993306</v>
      </c>
      <c r="H7" s="8">
        <f>H18</f>
        <v>919289</v>
      </c>
      <c r="I7" s="86">
        <f t="shared" si="3"/>
        <v>0.1974532435218711</v>
      </c>
      <c r="J7" s="8">
        <f>J18</f>
        <v>955179.05</v>
      </c>
      <c r="K7" s="86">
        <f t="shared" si="4"/>
        <v>0.20113924954517759</v>
      </c>
      <c r="L7" s="8">
        <f>L18</f>
        <v>992863.60250000004</v>
      </c>
      <c r="M7" s="86">
        <f t="shared" si="0"/>
        <v>0.20497526441849448</v>
      </c>
      <c r="N7" s="8">
        <f>N18</f>
        <v>1032432.3826250002</v>
      </c>
      <c r="O7" s="86">
        <f t="shared" si="1"/>
        <v>0.20896488454117218</v>
      </c>
      <c r="P7" s="8">
        <f>'YR''26'!M7</f>
        <v>326608.09999999998</v>
      </c>
      <c r="Q7" s="8">
        <f>F18/12*5</f>
        <v>368795</v>
      </c>
    </row>
    <row r="8" spans="1:17" x14ac:dyDescent="0.35">
      <c r="A8" s="7" t="s">
        <v>8</v>
      </c>
      <c r="B8" s="8">
        <v>33418.94</v>
      </c>
      <c r="C8" s="9">
        <f t="shared" si="5"/>
        <v>9.1915161793047085E-3</v>
      </c>
      <c r="D8" s="8">
        <f>P8+Q8</f>
        <v>89587.690000000017</v>
      </c>
      <c r="E8" s="9">
        <f t="shared" si="2"/>
        <v>2.0019853300676099E-2</v>
      </c>
      <c r="F8" s="8">
        <f t="shared" ref="F8:F11" si="6">D8*1.02</f>
        <v>91379.443800000023</v>
      </c>
      <c r="G8" s="9">
        <f t="shared" si="2"/>
        <v>2.0019853300676099E-2</v>
      </c>
      <c r="H8" s="8">
        <f t="shared" ref="H8:H11" si="7">F8*1.02</f>
        <v>93207.032676000032</v>
      </c>
      <c r="I8" s="86">
        <f t="shared" si="3"/>
        <v>2.0019853300676099E-2</v>
      </c>
      <c r="J8" s="8">
        <f t="shared" ref="J8:J11" si="8">H8*1.02</f>
        <v>95071.173329520039</v>
      </c>
      <c r="K8" s="86">
        <f t="shared" si="4"/>
        <v>2.0019853300676103E-2</v>
      </c>
      <c r="L8" s="8">
        <f t="shared" ref="L8:L11" si="9">J8*1.02</f>
        <v>96972.596796110447</v>
      </c>
      <c r="M8" s="86">
        <f t="shared" si="0"/>
        <v>2.0019853300676103E-2</v>
      </c>
      <c r="N8" s="8">
        <f t="shared" ref="N8:N11" si="10">L8*1.02</f>
        <v>98912.048732032665</v>
      </c>
      <c r="O8" s="86">
        <f t="shared" si="1"/>
        <v>2.0019853300676099E-2</v>
      </c>
      <c r="P8" s="8">
        <f>'YR''26'!M8</f>
        <v>58106</v>
      </c>
      <c r="Q8" s="8">
        <v>31481.690000000017</v>
      </c>
    </row>
    <row r="9" spans="1:17" x14ac:dyDescent="0.35">
      <c r="A9" s="7" t="s">
        <v>9</v>
      </c>
      <c r="B9" s="8">
        <v>278611.63</v>
      </c>
      <c r="C9" s="9">
        <f t="shared" si="5"/>
        <v>7.6629100291255706E-2</v>
      </c>
      <c r="D9" s="8">
        <f>P9+Q9+2500*5</f>
        <v>275313.66000000003</v>
      </c>
      <c r="E9" s="9">
        <f t="shared" si="2"/>
        <v>6.1523397744402346E-2</v>
      </c>
      <c r="F9" s="8">
        <f t="shared" si="6"/>
        <v>280819.93320000003</v>
      </c>
      <c r="G9" s="9">
        <f t="shared" si="2"/>
        <v>6.1523397744402346E-2</v>
      </c>
      <c r="H9" s="8">
        <f t="shared" si="7"/>
        <v>286436.33186400001</v>
      </c>
      <c r="I9" s="86">
        <f t="shared" si="3"/>
        <v>6.1523397744402339E-2</v>
      </c>
      <c r="J9" s="8">
        <f t="shared" si="8"/>
        <v>292165.05850128003</v>
      </c>
      <c r="K9" s="86">
        <f t="shared" si="4"/>
        <v>6.1523397744402346E-2</v>
      </c>
      <c r="L9" s="8">
        <f t="shared" si="9"/>
        <v>298008.35967130563</v>
      </c>
      <c r="M9" s="86">
        <f t="shared" si="0"/>
        <v>6.1523397744402339E-2</v>
      </c>
      <c r="N9" s="8">
        <f t="shared" si="10"/>
        <v>303968.52686473174</v>
      </c>
      <c r="O9" s="86">
        <f t="shared" si="1"/>
        <v>6.1523397744402332E-2</v>
      </c>
      <c r="P9" s="8">
        <f>'YR''26'!M9</f>
        <v>152032.56</v>
      </c>
      <c r="Q9" s="8">
        <v>110781.10000000003</v>
      </c>
    </row>
    <row r="10" spans="1:17" x14ac:dyDescent="0.35">
      <c r="A10" s="7" t="s">
        <v>10</v>
      </c>
      <c r="B10" s="8">
        <v>183849.07</v>
      </c>
      <c r="C10" s="9">
        <f t="shared" si="5"/>
        <v>5.0565688243107768E-2</v>
      </c>
      <c r="D10" s="8">
        <f>P10+Q10</f>
        <v>199668.52458486799</v>
      </c>
      <c r="E10" s="9">
        <f t="shared" si="2"/>
        <v>4.4619239216364383E-2</v>
      </c>
      <c r="F10" s="8">
        <f t="shared" si="6"/>
        <v>203661.89507656536</v>
      </c>
      <c r="G10" s="9">
        <f t="shared" si="2"/>
        <v>4.4619239216364383E-2</v>
      </c>
      <c r="H10" s="8">
        <f t="shared" si="7"/>
        <v>207735.13297809666</v>
      </c>
      <c r="I10" s="86">
        <f t="shared" si="3"/>
        <v>4.4619239216364383E-2</v>
      </c>
      <c r="J10" s="8">
        <f t="shared" si="8"/>
        <v>211889.8356376586</v>
      </c>
      <c r="K10" s="86">
        <f t="shared" si="4"/>
        <v>4.4619239216364383E-2</v>
      </c>
      <c r="L10" s="8">
        <f t="shared" si="9"/>
        <v>216127.63235041179</v>
      </c>
      <c r="M10" s="86">
        <f t="shared" si="0"/>
        <v>4.4619239216364383E-2</v>
      </c>
      <c r="N10" s="8">
        <f t="shared" si="10"/>
        <v>220450.18499742003</v>
      </c>
      <c r="O10" s="86">
        <f t="shared" si="1"/>
        <v>4.4619239216364376E-2</v>
      </c>
      <c r="P10" s="8">
        <f>'YR''26'!M10</f>
        <v>125125.22</v>
      </c>
      <c r="Q10" s="8">
        <v>74543.30458486799</v>
      </c>
    </row>
    <row r="11" spans="1:17" x14ac:dyDescent="0.35">
      <c r="A11" s="7" t="s">
        <v>11</v>
      </c>
      <c r="B11" s="8">
        <v>86106.41</v>
      </c>
      <c r="C11" s="9">
        <f t="shared" si="5"/>
        <v>2.3682632083987246E-2</v>
      </c>
      <c r="D11" s="8">
        <f>P11+Q11</f>
        <v>91216.357080581787</v>
      </c>
      <c r="E11" s="9">
        <f t="shared" si="2"/>
        <v>2.0383805937794965E-2</v>
      </c>
      <c r="F11" s="8">
        <f t="shared" si="6"/>
        <v>93040.68422219342</v>
      </c>
      <c r="G11" s="9">
        <f t="shared" si="2"/>
        <v>2.0383805937794965E-2</v>
      </c>
      <c r="H11" s="8">
        <f t="shared" si="7"/>
        <v>94901.497906637291</v>
      </c>
      <c r="I11" s="86">
        <f t="shared" si="3"/>
        <v>2.0383805937794965E-2</v>
      </c>
      <c r="J11" s="8">
        <f t="shared" si="8"/>
        <v>96799.527864770032</v>
      </c>
      <c r="K11" s="86">
        <f t="shared" si="4"/>
        <v>2.0383805937794961E-2</v>
      </c>
      <c r="L11" s="8">
        <f t="shared" si="9"/>
        <v>98735.518422065434</v>
      </c>
      <c r="M11" s="86">
        <f t="shared" si="0"/>
        <v>2.0383805937794961E-2</v>
      </c>
      <c r="N11" s="8">
        <f t="shared" si="10"/>
        <v>100710.22879050675</v>
      </c>
      <c r="O11" s="86">
        <f t="shared" si="1"/>
        <v>2.0383805937794958E-2</v>
      </c>
      <c r="P11" s="8">
        <f>'YR''26'!M11</f>
        <v>60529</v>
      </c>
      <c r="Q11" s="8">
        <v>30687.357080581787</v>
      </c>
    </row>
    <row r="12" spans="1:17" x14ac:dyDescent="0.35">
      <c r="A12" s="12" t="s">
        <v>12</v>
      </c>
      <c r="B12" s="13">
        <f>SUM(B6:B11)</f>
        <v>1272190.4499999997</v>
      </c>
      <c r="C12" s="9">
        <f t="shared" si="5"/>
        <v>0.34990215441698436</v>
      </c>
      <c r="D12" s="13">
        <f>SUM(D6:D11)</f>
        <v>1725871.7316654499</v>
      </c>
      <c r="E12" s="9">
        <f t="shared" si="2"/>
        <v>0.38567462654440721</v>
      </c>
      <c r="F12" s="13">
        <f>SUM(F6:F11)</f>
        <v>1936186.0042987589</v>
      </c>
      <c r="G12" s="9">
        <f t="shared" si="2"/>
        <v>0.42418905343439361</v>
      </c>
      <c r="H12" s="13">
        <f>SUM(H6:H11)</f>
        <v>1991388.564384734</v>
      </c>
      <c r="I12" s="86">
        <f t="shared" si="3"/>
        <v>0.42772852840633163</v>
      </c>
      <c r="J12" s="13">
        <f>SUM(J6:J11)</f>
        <v>2048720.6056724286</v>
      </c>
      <c r="K12" s="86">
        <f t="shared" si="4"/>
        <v>0.43141453442963806</v>
      </c>
      <c r="L12" s="13">
        <f>SUM(L6:L11)</f>
        <v>2108275.9892858774</v>
      </c>
      <c r="M12" s="86">
        <f t="shared" si="0"/>
        <v>0.43525054930295498</v>
      </c>
      <c r="N12" s="13">
        <f>SUM(N6:N11)</f>
        <v>2170153.0171465953</v>
      </c>
      <c r="O12" s="86">
        <f t="shared" si="1"/>
        <v>0.43924016942563271</v>
      </c>
      <c r="P12" s="13">
        <f>'YR''26'!M12</f>
        <v>945436.28</v>
      </c>
      <c r="Q12" s="13">
        <v>816049.96446544956</v>
      </c>
    </row>
    <row r="13" spans="1:17" x14ac:dyDescent="0.35">
      <c r="A13" s="14" t="s">
        <v>13</v>
      </c>
      <c r="B13" s="15">
        <f>B5-B12</f>
        <v>963013.80000000028</v>
      </c>
      <c r="C13" s="9">
        <f t="shared" si="5"/>
        <v>0.26486647761998772</v>
      </c>
      <c r="D13" s="15">
        <f>D5-D12</f>
        <v>1138091.3922833002</v>
      </c>
      <c r="E13" s="9">
        <f t="shared" si="2"/>
        <v>0.25432537345559281</v>
      </c>
      <c r="F13" s="15">
        <f>F5-F12</f>
        <v>985056.38212896627</v>
      </c>
      <c r="G13" s="9">
        <f t="shared" si="2"/>
        <v>0.21581094656560645</v>
      </c>
      <c r="H13" s="15">
        <f>H5-H12</f>
        <v>988278.6697715458</v>
      </c>
      <c r="I13" s="86">
        <f t="shared" si="3"/>
        <v>0.21227147159366844</v>
      </c>
      <c r="J13" s="15">
        <f>J5-J12</f>
        <v>990539.97316697682</v>
      </c>
      <c r="K13" s="86">
        <f t="shared" si="4"/>
        <v>0.20858546557036198</v>
      </c>
      <c r="L13" s="15">
        <f>L5-L12</f>
        <v>991769.80113031622</v>
      </c>
      <c r="M13" s="86">
        <f t="shared" si="0"/>
        <v>0.204749450697045</v>
      </c>
      <c r="N13" s="15">
        <f>N5-N12</f>
        <v>991893.68907792261</v>
      </c>
      <c r="O13" s="86">
        <f t="shared" si="1"/>
        <v>0.20075983057436733</v>
      </c>
      <c r="P13" s="15">
        <f>'YR''26'!M13</f>
        <v>532119.01000000024</v>
      </c>
      <c r="Q13" s="15">
        <v>599812.02411966329</v>
      </c>
    </row>
    <row r="14" spans="1:17" x14ac:dyDescent="0.35">
      <c r="A14" s="7" t="s">
        <v>14</v>
      </c>
      <c r="B14" s="8">
        <v>259318.77207626193</v>
      </c>
      <c r="C14" s="9">
        <f t="shared" si="5"/>
        <v>7.1322809434901033E-2</v>
      </c>
      <c r="D14" s="8">
        <f>P14+Q14</f>
        <v>15213.980000000003</v>
      </c>
      <c r="E14" s="9">
        <f t="shared" si="2"/>
        <v>3.3998158421030852E-3</v>
      </c>
      <c r="F14" s="8">
        <f>D14</f>
        <v>15213.980000000003</v>
      </c>
      <c r="G14" s="9">
        <f t="shared" si="2"/>
        <v>3.3331527863755738E-3</v>
      </c>
      <c r="H14" s="8"/>
      <c r="I14" s="86">
        <f t="shared" si="3"/>
        <v>0</v>
      </c>
      <c r="J14" s="8"/>
      <c r="K14" s="86">
        <f t="shared" si="4"/>
        <v>0</v>
      </c>
      <c r="L14" s="8"/>
      <c r="M14" s="86">
        <f t="shared" si="0"/>
        <v>0</v>
      </c>
      <c r="N14" s="8"/>
      <c r="O14" s="86">
        <f t="shared" si="1"/>
        <v>0</v>
      </c>
      <c r="P14" s="8">
        <f>'YR''26'!M14</f>
        <v>15213.980000000003</v>
      </c>
      <c r="Q14" s="8">
        <v>0</v>
      </c>
    </row>
    <row r="15" spans="1:17" x14ac:dyDescent="0.35">
      <c r="A15" s="7" t="s">
        <v>15</v>
      </c>
      <c r="B15" s="8">
        <v>0</v>
      </c>
      <c r="C15" s="9">
        <f t="shared" si="5"/>
        <v>0</v>
      </c>
      <c r="D15" s="8">
        <f>P15+Q15</f>
        <v>4878.21</v>
      </c>
      <c r="E15" s="9">
        <f t="shared" si="2"/>
        <v>1.0901168293310289E-3</v>
      </c>
      <c r="F15" s="8">
        <f>D15</f>
        <v>4878.21</v>
      </c>
      <c r="G15" s="9">
        <f t="shared" si="2"/>
        <v>1.0687419895402245E-3</v>
      </c>
      <c r="H15" s="8">
        <v>0</v>
      </c>
      <c r="I15" s="86">
        <f t="shared" si="3"/>
        <v>0</v>
      </c>
      <c r="J15" s="8">
        <v>0</v>
      </c>
      <c r="K15" s="86">
        <f t="shared" si="4"/>
        <v>0</v>
      </c>
      <c r="L15" s="8">
        <v>0</v>
      </c>
      <c r="M15" s="86">
        <f t="shared" si="0"/>
        <v>0</v>
      </c>
      <c r="N15" s="8">
        <v>0</v>
      </c>
      <c r="O15" s="86">
        <f t="shared" si="1"/>
        <v>0</v>
      </c>
      <c r="P15" s="8">
        <f>'YR''26'!M15</f>
        <v>3763.21</v>
      </c>
      <c r="Q15" s="8">
        <v>1115</v>
      </c>
    </row>
    <row r="16" spans="1:17" ht="15" thickBot="1" x14ac:dyDescent="0.4">
      <c r="A16" s="16" t="s">
        <v>16</v>
      </c>
      <c r="B16" s="17">
        <f>B13-B14</f>
        <v>703695.02792373835</v>
      </c>
      <c r="C16" s="87">
        <f t="shared" si="5"/>
        <v>0.19354366818508664</v>
      </c>
      <c r="D16" s="17">
        <f>D13-D14-D15</f>
        <v>1117999.2022833002</v>
      </c>
      <c r="E16" s="87">
        <f t="shared" si="2"/>
        <v>0.24983544078415873</v>
      </c>
      <c r="F16" s="17">
        <f>F13-F14-F15</f>
        <v>964964.19212896633</v>
      </c>
      <c r="G16" s="87">
        <f t="shared" si="2"/>
        <v>0.21140905178969066</v>
      </c>
      <c r="H16" s="17">
        <f>H13-H14</f>
        <v>988278.6697715458</v>
      </c>
      <c r="I16" s="88">
        <f t="shared" si="3"/>
        <v>0.21227147159366844</v>
      </c>
      <c r="J16" s="17">
        <f>J13-J14</f>
        <v>990539.97316697682</v>
      </c>
      <c r="K16" s="88">
        <f t="shared" si="4"/>
        <v>0.20858546557036198</v>
      </c>
      <c r="L16" s="17">
        <f>L13-L14</f>
        <v>991769.80113031622</v>
      </c>
      <c r="M16" s="88">
        <f t="shared" si="0"/>
        <v>0.204749450697045</v>
      </c>
      <c r="N16" s="17">
        <f>N13-N14</f>
        <v>991893.68907792261</v>
      </c>
      <c r="O16" s="88">
        <f t="shared" si="1"/>
        <v>0.20075983057436733</v>
      </c>
      <c r="P16" s="17">
        <f>'YR''26'!M16</f>
        <v>513141.82000000024</v>
      </c>
      <c r="Q16" s="17">
        <v>598697.02411966329</v>
      </c>
    </row>
    <row r="17" spans="1:17" x14ac:dyDescent="0.35">
      <c r="A17" t="s">
        <v>39</v>
      </c>
      <c r="B17" s="26">
        <v>3598</v>
      </c>
      <c r="D17" s="26">
        <v>3598</v>
      </c>
      <c r="F17" s="26">
        <v>3598</v>
      </c>
      <c r="H17" s="26">
        <v>3598</v>
      </c>
      <c r="J17" s="26">
        <v>3598</v>
      </c>
      <c r="L17" s="26">
        <v>3598</v>
      </c>
      <c r="N17" s="26">
        <v>3598</v>
      </c>
    </row>
    <row r="18" spans="1:17" x14ac:dyDescent="0.35">
      <c r="A18" t="s">
        <v>7</v>
      </c>
      <c r="B18" s="26">
        <f>B7</f>
        <v>444170.54</v>
      </c>
      <c r="D18" s="26">
        <f>D7</f>
        <v>695403.1</v>
      </c>
      <c r="F18" s="26">
        <f>F17*F26</f>
        <v>885108</v>
      </c>
      <c r="H18" s="26">
        <f>H17*H26</f>
        <v>919289</v>
      </c>
      <c r="J18" s="26">
        <f>J17*J26</f>
        <v>955179.05</v>
      </c>
      <c r="L18" s="26">
        <f>L17*L26</f>
        <v>992863.60250000004</v>
      </c>
      <c r="N18" s="26">
        <f>N17*N26</f>
        <v>1032432.3826250002</v>
      </c>
      <c r="Q18" s="27"/>
    </row>
    <row r="19" spans="1:17" x14ac:dyDescent="0.35">
      <c r="A19" t="s">
        <v>37</v>
      </c>
      <c r="B19" s="26">
        <f>B18/B17</f>
        <v>123.44928849360755</v>
      </c>
      <c r="D19" s="26">
        <f>D18/D17</f>
        <v>193.27490272373541</v>
      </c>
      <c r="F19" s="26">
        <f>F18/F17</f>
        <v>246</v>
      </c>
      <c r="H19" s="26">
        <f>H18/H17</f>
        <v>255.5</v>
      </c>
      <c r="J19" s="26">
        <f>J18/J17</f>
        <v>265.47500000000002</v>
      </c>
      <c r="L19" s="26">
        <f>L18/L17</f>
        <v>275.94875000000002</v>
      </c>
      <c r="N19" s="26">
        <f>N18/N17</f>
        <v>286.94618750000006</v>
      </c>
    </row>
    <row r="20" spans="1:17" x14ac:dyDescent="0.35">
      <c r="A20" t="s">
        <v>38</v>
      </c>
      <c r="B20" s="26">
        <f>B19/12</f>
        <v>10.287440707800629</v>
      </c>
      <c r="D20" s="26">
        <f>D19/12</f>
        <v>16.106241893644619</v>
      </c>
      <c r="F20" s="26">
        <f>F19/12</f>
        <v>20.5</v>
      </c>
      <c r="H20" s="26">
        <f>H19/12</f>
        <v>21.291666666666668</v>
      </c>
      <c r="J20" s="26">
        <f>J19/12</f>
        <v>22.122916666666669</v>
      </c>
      <c r="L20" s="26">
        <f>L19/12</f>
        <v>22.995729166666667</v>
      </c>
      <c r="N20" s="26">
        <f>N19/12</f>
        <v>23.912182291666671</v>
      </c>
    </row>
    <row r="21" spans="1:17" x14ac:dyDescent="0.35">
      <c r="A21" t="s">
        <v>42</v>
      </c>
      <c r="F21" s="30">
        <f>F18/D18-1</f>
        <v>0.2727984675363111</v>
      </c>
      <c r="H21" s="30">
        <f>H18/F18-1</f>
        <v>3.8617886178861749E-2</v>
      </c>
      <c r="J21" s="30">
        <f>J18/H18-1</f>
        <v>3.9041095890411048E-2</v>
      </c>
      <c r="L21" s="30">
        <f>L18/J18-1</f>
        <v>3.9452867501647892E-2</v>
      </c>
      <c r="N21" s="30">
        <f>N18/L18-1</f>
        <v>3.9853188318483168E-2</v>
      </c>
    </row>
    <row r="22" spans="1:17" x14ac:dyDescent="0.35">
      <c r="D22" s="27">
        <f>D19*1.2</f>
        <v>231.92988326848248</v>
      </c>
      <c r="F22" s="29">
        <f>F18</f>
        <v>885108</v>
      </c>
      <c r="H22" s="29">
        <f>H18</f>
        <v>919289</v>
      </c>
      <c r="J22" s="29">
        <f>J18</f>
        <v>955179.05</v>
      </c>
      <c r="L22" s="29">
        <f>L18</f>
        <v>992863.60250000004</v>
      </c>
      <c r="N22" s="29">
        <f>N18</f>
        <v>1032432.3826250002</v>
      </c>
    </row>
    <row r="23" spans="1:17" x14ac:dyDescent="0.35">
      <c r="A23" t="s">
        <v>25</v>
      </c>
      <c r="D23">
        <v>190</v>
      </c>
      <c r="F23">
        <v>190</v>
      </c>
      <c r="H23">
        <f>F23*1.05</f>
        <v>199.5</v>
      </c>
      <c r="J23">
        <f>H23*1.05</f>
        <v>209.47500000000002</v>
      </c>
      <c r="L23">
        <f>J23*1.05</f>
        <v>219.94875000000005</v>
      </c>
      <c r="N23">
        <f>L23*1.05</f>
        <v>230.94618750000006</v>
      </c>
    </row>
    <row r="24" spans="1:17" x14ac:dyDescent="0.35">
      <c r="A24" t="s">
        <v>40</v>
      </c>
      <c r="D24">
        <v>41</v>
      </c>
      <c r="F24">
        <v>41</v>
      </c>
      <c r="H24">
        <v>41</v>
      </c>
      <c r="J24">
        <v>41</v>
      </c>
      <c r="L24">
        <v>41</v>
      </c>
      <c r="N24">
        <v>41</v>
      </c>
    </row>
    <row r="25" spans="1:17" x14ac:dyDescent="0.35">
      <c r="A25" t="s">
        <v>41</v>
      </c>
      <c r="D25">
        <v>15</v>
      </c>
      <c r="F25">
        <v>15</v>
      </c>
      <c r="H25">
        <v>15</v>
      </c>
      <c r="J25">
        <v>15</v>
      </c>
      <c r="L25">
        <v>15</v>
      </c>
      <c r="N25">
        <v>15</v>
      </c>
    </row>
    <row r="26" spans="1:17" x14ac:dyDescent="0.35">
      <c r="D26">
        <f>SUM(D23:D25)</f>
        <v>246</v>
      </c>
      <c r="F26">
        <f>SUM(F23:F25)</f>
        <v>246</v>
      </c>
      <c r="H26">
        <f>SUM(H23:H25)</f>
        <v>255.5</v>
      </c>
      <c r="J26">
        <f>SUM(J23:J25)</f>
        <v>265.47500000000002</v>
      </c>
      <c r="L26">
        <f>SUM(L23:L25)</f>
        <v>275.94875000000002</v>
      </c>
      <c r="N26">
        <f>SUM(N23:N25)</f>
        <v>286.94618750000006</v>
      </c>
    </row>
    <row r="28" spans="1:17" x14ac:dyDescent="0.35">
      <c r="A28" s="28" t="s">
        <v>70</v>
      </c>
    </row>
  </sheetData>
  <mergeCells count="1">
    <mergeCell ref="P1:Q1"/>
  </mergeCells>
  <conditionalFormatting sqref="A1">
    <cfRule type="duplicateValues" dxfId="14" priority="17"/>
  </conditionalFormatting>
  <conditionalFormatting sqref="B16">
    <cfRule type="cellIs" dxfId="13" priority="14" operator="lessThan">
      <formula>0</formula>
    </cfRule>
  </conditionalFormatting>
  <conditionalFormatting sqref="C2:C16 E2:E16">
    <cfRule type="cellIs" dxfId="12" priority="16" operator="lessThan">
      <formula>0</formula>
    </cfRule>
  </conditionalFormatting>
  <conditionalFormatting sqref="D16">
    <cfRule type="cellIs" dxfId="11" priority="15" operator="lessThan">
      <formula>0</formula>
    </cfRule>
  </conditionalFormatting>
  <conditionalFormatting sqref="F16">
    <cfRule type="cellIs" dxfId="10" priority="9" operator="lessThan">
      <formula>0</formula>
    </cfRule>
  </conditionalFormatting>
  <conditionalFormatting sqref="G2:G16">
    <cfRule type="cellIs" dxfId="9" priority="12" operator="lessThan">
      <formula>0</formula>
    </cfRule>
  </conditionalFormatting>
  <conditionalFormatting sqref="H16">
    <cfRule type="cellIs" dxfId="8" priority="13" operator="lessThan">
      <formula>0</formula>
    </cfRule>
  </conditionalFormatting>
  <conditionalFormatting sqref="I2:I16">
    <cfRule type="cellIs" dxfId="7" priority="11" operator="lessThan">
      <formula>0</formula>
    </cfRule>
  </conditionalFormatting>
  <conditionalFormatting sqref="J16">
    <cfRule type="cellIs" dxfId="6" priority="8" operator="lessThan">
      <formula>0</formula>
    </cfRule>
  </conditionalFormatting>
  <conditionalFormatting sqref="K2:K16">
    <cfRule type="cellIs" dxfId="5" priority="7" operator="lessThan">
      <formula>0</formula>
    </cfRule>
  </conditionalFormatting>
  <conditionalFormatting sqref="L16">
    <cfRule type="cellIs" dxfId="4" priority="4" operator="lessThan">
      <formula>0</formula>
    </cfRule>
  </conditionalFormatting>
  <conditionalFormatting sqref="M2:M16">
    <cfRule type="cellIs" dxfId="3" priority="3" operator="lessThan">
      <formula>0</formula>
    </cfRule>
  </conditionalFormatting>
  <conditionalFormatting sqref="N16">
    <cfRule type="cellIs" dxfId="2" priority="2" operator="lessThan">
      <formula>0</formula>
    </cfRule>
  </conditionalFormatting>
  <conditionalFormatting sqref="O2:O16">
    <cfRule type="cellIs" dxfId="1" priority="1" operator="lessThan">
      <formula>0</formula>
    </cfRule>
  </conditionalFormatting>
  <conditionalFormatting sqref="P16:Q16">
    <cfRule type="cellIs" dxfId="0" priority="10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F0BF2-43C7-4010-942A-12E90BF4EF2A}">
  <dimension ref="B2:K26"/>
  <sheetViews>
    <sheetView workbookViewId="0">
      <selection activeCell="H7" sqref="H7"/>
    </sheetView>
  </sheetViews>
  <sheetFormatPr defaultRowHeight="14.5" x14ac:dyDescent="0.35"/>
  <cols>
    <col min="2" max="2" width="17.7265625" bestFit="1" customWidth="1"/>
    <col min="3" max="4" width="9.7265625" bestFit="1" customWidth="1"/>
    <col min="5" max="5" width="10.54296875" bestFit="1" customWidth="1"/>
    <col min="6" max="6" width="9.54296875" bestFit="1" customWidth="1"/>
    <col min="7" max="7" width="7.54296875" bestFit="1" customWidth="1"/>
    <col min="9" max="9" width="18.1796875" bestFit="1" customWidth="1"/>
    <col min="10" max="10" width="10.453125" bestFit="1" customWidth="1"/>
    <col min="11" max="11" width="6.1796875" bestFit="1" customWidth="1"/>
    <col min="12" max="12" width="14.26953125" bestFit="1" customWidth="1"/>
    <col min="13" max="13" width="12" bestFit="1" customWidth="1"/>
  </cols>
  <sheetData>
    <row r="2" spans="2:11" x14ac:dyDescent="0.35">
      <c r="B2" t="s">
        <v>31</v>
      </c>
      <c r="C2" t="s">
        <v>32</v>
      </c>
    </row>
    <row r="3" spans="2:11" x14ac:dyDescent="0.35">
      <c r="B3" t="s">
        <v>33</v>
      </c>
      <c r="C3" t="s">
        <v>34</v>
      </c>
    </row>
    <row r="5" spans="2:11" x14ac:dyDescent="0.35">
      <c r="B5" t="s">
        <v>35</v>
      </c>
    </row>
    <row r="7" spans="2:11" x14ac:dyDescent="0.35">
      <c r="C7" s="22" t="s">
        <v>22</v>
      </c>
      <c r="D7" s="22" t="s">
        <v>23</v>
      </c>
      <c r="E7" s="22" t="s">
        <v>24</v>
      </c>
      <c r="F7" s="22" t="s">
        <v>25</v>
      </c>
      <c r="G7" s="22" t="s">
        <v>26</v>
      </c>
      <c r="H7" s="22" t="s">
        <v>27</v>
      </c>
      <c r="I7" s="22" t="s">
        <v>28</v>
      </c>
      <c r="J7" s="22" t="s">
        <v>29</v>
      </c>
      <c r="K7" s="22" t="s">
        <v>30</v>
      </c>
    </row>
    <row r="8" spans="2:11" x14ac:dyDescent="0.35">
      <c r="B8" s="18" t="s">
        <v>17</v>
      </c>
      <c r="C8" s="19">
        <v>46242</v>
      </c>
      <c r="D8" s="19">
        <v>46606</v>
      </c>
      <c r="E8" s="20">
        <v>3598</v>
      </c>
      <c r="F8" s="18">
        <v>240</v>
      </c>
      <c r="G8" s="18">
        <v>41</v>
      </c>
      <c r="H8" s="18">
        <v>15</v>
      </c>
      <c r="I8" s="18">
        <v>296</v>
      </c>
      <c r="J8" s="23">
        <f>I8*E8</f>
        <v>1065008</v>
      </c>
      <c r="K8" s="21">
        <v>0.12</v>
      </c>
    </row>
    <row r="9" spans="2:11" x14ac:dyDescent="0.35">
      <c r="B9" s="18" t="s">
        <v>17</v>
      </c>
      <c r="C9" s="19">
        <v>46607</v>
      </c>
      <c r="D9" s="19">
        <v>46972</v>
      </c>
      <c r="E9" s="20">
        <v>3598</v>
      </c>
      <c r="F9" s="18">
        <v>252</v>
      </c>
      <c r="G9" s="18">
        <v>41</v>
      </c>
      <c r="H9" s="18">
        <v>15</v>
      </c>
      <c r="I9" s="18">
        <v>308</v>
      </c>
      <c r="J9" s="23">
        <f t="shared" ref="J9:J10" si="0">I9*E9</f>
        <v>1108184</v>
      </c>
      <c r="K9" s="21">
        <v>0.12</v>
      </c>
    </row>
    <row r="10" spans="2:11" x14ac:dyDescent="0.35">
      <c r="B10" s="18" t="s">
        <v>17</v>
      </c>
      <c r="C10" s="19">
        <v>46973</v>
      </c>
      <c r="D10" s="19">
        <v>47337</v>
      </c>
      <c r="E10" s="20">
        <v>3598</v>
      </c>
      <c r="F10" s="18">
        <v>264.60000000000002</v>
      </c>
      <c r="G10" s="18">
        <v>42.02</v>
      </c>
      <c r="H10" s="18">
        <v>15</v>
      </c>
      <c r="I10" s="18">
        <v>321.62</v>
      </c>
      <c r="J10" s="23">
        <f t="shared" si="0"/>
        <v>1157188.76</v>
      </c>
      <c r="K10" s="21">
        <v>0.12</v>
      </c>
    </row>
    <row r="11" spans="2:11" x14ac:dyDescent="0.35">
      <c r="J11" s="24"/>
    </row>
    <row r="12" spans="2:11" x14ac:dyDescent="0.35">
      <c r="C12" s="22" t="s">
        <v>22</v>
      </c>
      <c r="D12" s="22" t="s">
        <v>23</v>
      </c>
      <c r="E12" s="22" t="s">
        <v>24</v>
      </c>
      <c r="F12" s="22" t="s">
        <v>25</v>
      </c>
      <c r="G12" s="22" t="s">
        <v>26</v>
      </c>
      <c r="H12" s="22" t="s">
        <v>27</v>
      </c>
      <c r="I12" s="22" t="s">
        <v>28</v>
      </c>
      <c r="J12" s="25" t="s">
        <v>29</v>
      </c>
      <c r="K12" s="22" t="s">
        <v>30</v>
      </c>
    </row>
    <row r="13" spans="2:11" x14ac:dyDescent="0.35">
      <c r="B13" s="18" t="s">
        <v>17</v>
      </c>
      <c r="C13" s="19">
        <v>46242</v>
      </c>
      <c r="D13" s="19">
        <v>46606</v>
      </c>
      <c r="E13" s="20">
        <v>3598</v>
      </c>
      <c r="F13" s="18">
        <v>200</v>
      </c>
      <c r="G13" s="18">
        <v>41</v>
      </c>
      <c r="H13" s="18">
        <v>15</v>
      </c>
      <c r="I13" s="18">
        <f>F13+G13+H13</f>
        <v>256</v>
      </c>
      <c r="J13" s="23">
        <f>I13*E13</f>
        <v>921088</v>
      </c>
      <c r="K13" s="21">
        <v>0.12</v>
      </c>
    </row>
    <row r="14" spans="2:11" x14ac:dyDescent="0.35">
      <c r="B14" s="18" t="s">
        <v>17</v>
      </c>
      <c r="C14" s="19">
        <v>46607</v>
      </c>
      <c r="D14" s="19">
        <v>46972</v>
      </c>
      <c r="E14" s="20">
        <v>3598</v>
      </c>
      <c r="F14" s="18">
        <f>F13*1.05</f>
        <v>210</v>
      </c>
      <c r="G14" s="18">
        <v>41</v>
      </c>
      <c r="H14" s="18">
        <v>15</v>
      </c>
      <c r="I14" s="18">
        <f t="shared" ref="I14:I15" si="1">F14+G14+H14</f>
        <v>266</v>
      </c>
      <c r="J14" s="23">
        <f t="shared" ref="J14:J15" si="2">I14*E14</f>
        <v>957068</v>
      </c>
      <c r="K14" s="21">
        <v>0.12</v>
      </c>
    </row>
    <row r="15" spans="2:11" x14ac:dyDescent="0.35">
      <c r="B15" s="18" t="s">
        <v>17</v>
      </c>
      <c r="C15" s="19">
        <v>46973</v>
      </c>
      <c r="D15" s="19">
        <v>47337</v>
      </c>
      <c r="E15" s="20">
        <v>3598</v>
      </c>
      <c r="F15" s="18">
        <f>F14*1.05</f>
        <v>220.5</v>
      </c>
      <c r="G15" s="18">
        <v>42.02</v>
      </c>
      <c r="H15" s="18">
        <v>15</v>
      </c>
      <c r="I15" s="18">
        <f t="shared" si="1"/>
        <v>277.52</v>
      </c>
      <c r="J15" s="23">
        <f t="shared" si="2"/>
        <v>998516.96</v>
      </c>
      <c r="K15" s="21">
        <v>0.12</v>
      </c>
    </row>
    <row r="16" spans="2:11" x14ac:dyDescent="0.35">
      <c r="J16" s="24"/>
    </row>
    <row r="17" spans="2:11" x14ac:dyDescent="0.35">
      <c r="J17" s="24"/>
    </row>
    <row r="18" spans="2:11" x14ac:dyDescent="0.35">
      <c r="C18" s="22" t="s">
        <v>22</v>
      </c>
      <c r="D18" s="22" t="s">
        <v>23</v>
      </c>
      <c r="E18" s="22" t="s">
        <v>24</v>
      </c>
      <c r="F18" s="22" t="s">
        <v>25</v>
      </c>
      <c r="G18" s="22" t="s">
        <v>26</v>
      </c>
      <c r="H18" s="22" t="s">
        <v>27</v>
      </c>
      <c r="I18" s="22" t="s">
        <v>28</v>
      </c>
      <c r="J18" s="25" t="s">
        <v>29</v>
      </c>
      <c r="K18" s="22" t="s">
        <v>30</v>
      </c>
    </row>
    <row r="19" spans="2:11" x14ac:dyDescent="0.35">
      <c r="B19" s="18" t="s">
        <v>17</v>
      </c>
      <c r="C19" s="19">
        <v>46242</v>
      </c>
      <c r="D19" s="19">
        <v>46606</v>
      </c>
      <c r="E19" s="20">
        <v>3598</v>
      </c>
      <c r="F19" s="18">
        <v>180</v>
      </c>
      <c r="G19" s="18">
        <v>41</v>
      </c>
      <c r="H19" s="18">
        <v>15</v>
      </c>
      <c r="I19" s="18">
        <f>F19+G19+H19</f>
        <v>236</v>
      </c>
      <c r="J19" s="23">
        <f>I19*E19</f>
        <v>849128</v>
      </c>
      <c r="K19" s="21">
        <v>0.12</v>
      </c>
    </row>
    <row r="20" spans="2:11" x14ac:dyDescent="0.35">
      <c r="B20" s="18" t="s">
        <v>17</v>
      </c>
      <c r="C20" s="19">
        <v>46607</v>
      </c>
      <c r="D20" s="19">
        <v>46972</v>
      </c>
      <c r="E20" s="20">
        <v>3598</v>
      </c>
      <c r="F20" s="18">
        <f>F19*1.05</f>
        <v>189</v>
      </c>
      <c r="G20" s="18">
        <v>41</v>
      </c>
      <c r="H20" s="18">
        <v>15</v>
      </c>
      <c r="I20" s="18">
        <f t="shared" ref="I20:I21" si="3">F20+G20+H20</f>
        <v>245</v>
      </c>
      <c r="J20" s="23">
        <f t="shared" ref="J20:J21" si="4">I20*E20</f>
        <v>881510</v>
      </c>
      <c r="K20" s="21">
        <v>0.12</v>
      </c>
    </row>
    <row r="21" spans="2:11" x14ac:dyDescent="0.35">
      <c r="B21" s="18" t="s">
        <v>17</v>
      </c>
      <c r="C21" s="19">
        <v>46973</v>
      </c>
      <c r="D21" s="19">
        <v>47337</v>
      </c>
      <c r="E21" s="20">
        <v>3598</v>
      </c>
      <c r="F21" s="18">
        <f>F20*1.05</f>
        <v>198.45000000000002</v>
      </c>
      <c r="G21" s="18">
        <v>42.02</v>
      </c>
      <c r="H21" s="18">
        <v>15</v>
      </c>
      <c r="I21" s="18">
        <f t="shared" si="3"/>
        <v>255.47000000000003</v>
      </c>
      <c r="J21" s="23">
        <f t="shared" si="4"/>
        <v>919181.06</v>
      </c>
      <c r="K21" s="21">
        <v>0.12</v>
      </c>
    </row>
    <row r="22" spans="2:11" x14ac:dyDescent="0.35">
      <c r="J22" s="24"/>
    </row>
    <row r="23" spans="2:11" x14ac:dyDescent="0.35">
      <c r="C23" s="22" t="s">
        <v>22</v>
      </c>
      <c r="D23" s="22" t="s">
        <v>23</v>
      </c>
      <c r="E23" s="22" t="s">
        <v>24</v>
      </c>
      <c r="F23" s="22" t="s">
        <v>25</v>
      </c>
      <c r="G23" s="22" t="s">
        <v>26</v>
      </c>
      <c r="H23" s="22" t="s">
        <v>27</v>
      </c>
      <c r="I23" s="22" t="s">
        <v>28</v>
      </c>
      <c r="J23" s="25" t="s">
        <v>29</v>
      </c>
      <c r="K23" s="22" t="s">
        <v>30</v>
      </c>
    </row>
    <row r="24" spans="2:11" x14ac:dyDescent="0.35">
      <c r="B24" s="18" t="s">
        <v>17</v>
      </c>
      <c r="C24" s="19">
        <v>46242</v>
      </c>
      <c r="D24" s="19">
        <v>46606</v>
      </c>
      <c r="E24" s="20">
        <v>3598</v>
      </c>
      <c r="F24" s="18">
        <v>170</v>
      </c>
      <c r="G24" s="18">
        <v>41</v>
      </c>
      <c r="H24" s="18">
        <v>15</v>
      </c>
      <c r="I24" s="18">
        <f>F24+G24+H24</f>
        <v>226</v>
      </c>
      <c r="J24" s="23">
        <f>I24*E24</f>
        <v>813148</v>
      </c>
      <c r="K24" s="21">
        <v>0.12</v>
      </c>
    </row>
    <row r="25" spans="2:11" x14ac:dyDescent="0.35">
      <c r="B25" s="18" t="s">
        <v>17</v>
      </c>
      <c r="C25" s="19">
        <v>46607</v>
      </c>
      <c r="D25" s="19">
        <v>46972</v>
      </c>
      <c r="E25" s="20">
        <v>3598</v>
      </c>
      <c r="F25" s="18">
        <f>F24*1.05</f>
        <v>178.5</v>
      </c>
      <c r="G25" s="18">
        <v>41</v>
      </c>
      <c r="H25" s="18">
        <v>15</v>
      </c>
      <c r="I25" s="18">
        <f t="shared" ref="I25:I26" si="5">F25+G25+H25</f>
        <v>234.5</v>
      </c>
      <c r="J25" s="23">
        <f t="shared" ref="J25:J26" si="6">I25*E25</f>
        <v>843731</v>
      </c>
      <c r="K25" s="21">
        <v>0.12</v>
      </c>
    </row>
    <row r="26" spans="2:11" x14ac:dyDescent="0.35">
      <c r="B26" s="18" t="s">
        <v>17</v>
      </c>
      <c r="C26" s="19">
        <v>46973</v>
      </c>
      <c r="D26" s="19">
        <v>47337</v>
      </c>
      <c r="E26" s="20">
        <v>3598</v>
      </c>
      <c r="F26" s="18">
        <f>F25*1.05</f>
        <v>187.42500000000001</v>
      </c>
      <c r="G26" s="18">
        <v>42.02</v>
      </c>
      <c r="H26" s="18">
        <v>15</v>
      </c>
      <c r="I26" s="18">
        <f t="shared" si="5"/>
        <v>244.44500000000002</v>
      </c>
      <c r="J26" s="23">
        <f t="shared" si="6"/>
        <v>879513.1100000001</v>
      </c>
      <c r="K26" s="21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635A-B8D5-4911-AB50-CA4899C87508}">
  <dimension ref="A1:J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23" sqref="C23"/>
    </sheetView>
  </sheetViews>
  <sheetFormatPr defaultRowHeight="14.5" x14ac:dyDescent="0.35"/>
  <cols>
    <col min="1" max="1" width="16.81640625" bestFit="1" customWidth="1"/>
    <col min="2" max="3" width="9.7265625" bestFit="1" customWidth="1"/>
    <col min="4" max="4" width="10.1796875" bestFit="1" customWidth="1"/>
    <col min="5" max="5" width="9.1796875" bestFit="1" customWidth="1"/>
    <col min="6" max="6" width="7.453125" bestFit="1" customWidth="1"/>
    <col min="7" max="7" width="8.7265625" bestFit="1" customWidth="1"/>
    <col min="8" max="8" width="17.26953125" bestFit="1" customWidth="1"/>
    <col min="9" max="9" width="11.453125" bestFit="1" customWidth="1"/>
    <col min="10" max="10" width="5.81640625" bestFit="1" customWidth="1"/>
  </cols>
  <sheetData>
    <row r="1" spans="1:10" x14ac:dyDescent="0.35">
      <c r="A1" t="s">
        <v>21</v>
      </c>
    </row>
    <row r="2" spans="1:10" ht="33" customHeight="1" x14ac:dyDescent="0.35">
      <c r="B2" s="22" t="s">
        <v>22</v>
      </c>
      <c r="C2" s="22" t="s">
        <v>23</v>
      </c>
      <c r="D2" s="22" t="s">
        <v>24</v>
      </c>
      <c r="E2" s="22" t="s">
        <v>25</v>
      </c>
      <c r="F2" s="22" t="s">
        <v>26</v>
      </c>
      <c r="G2" s="22" t="s">
        <v>27</v>
      </c>
      <c r="H2" s="22" t="s">
        <v>28</v>
      </c>
      <c r="I2" s="22" t="s">
        <v>29</v>
      </c>
      <c r="J2" s="22" t="s">
        <v>30</v>
      </c>
    </row>
    <row r="3" spans="1:10" x14ac:dyDescent="0.35">
      <c r="A3" s="18" t="s">
        <v>17</v>
      </c>
      <c r="B3" s="19">
        <v>46242</v>
      </c>
      <c r="C3" s="19">
        <v>46606</v>
      </c>
      <c r="D3" s="20">
        <v>3598</v>
      </c>
      <c r="E3" s="18">
        <v>240</v>
      </c>
      <c r="F3" s="18">
        <v>41</v>
      </c>
      <c r="G3" s="18">
        <v>15</v>
      </c>
      <c r="H3" s="18">
        <v>296</v>
      </c>
      <c r="I3" s="23">
        <f>H3*D3</f>
        <v>1065008</v>
      </c>
      <c r="J3" s="21">
        <v>0.12</v>
      </c>
    </row>
    <row r="4" spans="1:10" x14ac:dyDescent="0.35">
      <c r="A4" s="18" t="s">
        <v>17</v>
      </c>
      <c r="B4" s="19">
        <v>46607</v>
      </c>
      <c r="C4" s="19">
        <v>46972</v>
      </c>
      <c r="D4" s="20">
        <v>3598</v>
      </c>
      <c r="E4" s="18">
        <v>252</v>
      </c>
      <c r="F4" s="18">
        <v>41</v>
      </c>
      <c r="G4" s="18">
        <v>15</v>
      </c>
      <c r="H4" s="18">
        <v>308</v>
      </c>
      <c r="I4" s="23">
        <f t="shared" ref="I4:I5" si="0">H4*D4</f>
        <v>1108184</v>
      </c>
      <c r="J4" s="21">
        <v>0.12</v>
      </c>
    </row>
    <row r="5" spans="1:10" x14ac:dyDescent="0.35">
      <c r="A5" s="18" t="s">
        <v>17</v>
      </c>
      <c r="B5" s="19">
        <v>46973</v>
      </c>
      <c r="C5" s="19">
        <v>47337</v>
      </c>
      <c r="D5" s="20">
        <v>3598</v>
      </c>
      <c r="E5" s="18">
        <v>264.60000000000002</v>
      </c>
      <c r="F5" s="18">
        <v>42.02</v>
      </c>
      <c r="G5" s="18">
        <v>15</v>
      </c>
      <c r="H5" s="18">
        <v>321.62</v>
      </c>
      <c r="I5" s="23">
        <f t="shared" si="0"/>
        <v>1157188.76</v>
      </c>
      <c r="J5" s="21">
        <v>0.12</v>
      </c>
    </row>
    <row r="6" spans="1:10" x14ac:dyDescent="0.35">
      <c r="I6" s="24"/>
    </row>
    <row r="7" spans="1:10" x14ac:dyDescent="0.35">
      <c r="B7" s="22" t="s">
        <v>22</v>
      </c>
      <c r="C7" s="22" t="s">
        <v>23</v>
      </c>
      <c r="D7" s="22" t="s">
        <v>24</v>
      </c>
      <c r="E7" s="22" t="s">
        <v>25</v>
      </c>
      <c r="F7" s="22" t="s">
        <v>26</v>
      </c>
      <c r="G7" s="22" t="s">
        <v>27</v>
      </c>
      <c r="H7" s="22" t="s">
        <v>28</v>
      </c>
      <c r="I7" s="25" t="s">
        <v>29</v>
      </c>
      <c r="J7" s="22" t="s">
        <v>30</v>
      </c>
    </row>
    <row r="8" spans="1:10" x14ac:dyDescent="0.35">
      <c r="A8" s="18" t="s">
        <v>17</v>
      </c>
      <c r="B8" s="19">
        <v>46242</v>
      </c>
      <c r="C8" s="19">
        <v>46606</v>
      </c>
      <c r="D8" s="20">
        <v>3598</v>
      </c>
      <c r="E8" s="18">
        <v>200</v>
      </c>
      <c r="F8" s="18">
        <v>41</v>
      </c>
      <c r="G8" s="18">
        <v>15</v>
      </c>
      <c r="H8" s="18">
        <f>E8+F8+G8</f>
        <v>256</v>
      </c>
      <c r="I8" s="23">
        <f>H8*D8</f>
        <v>921088</v>
      </c>
      <c r="J8" s="21">
        <v>0.12</v>
      </c>
    </row>
    <row r="9" spans="1:10" x14ac:dyDescent="0.35">
      <c r="A9" s="18" t="s">
        <v>17</v>
      </c>
      <c r="B9" s="19">
        <v>46607</v>
      </c>
      <c r="C9" s="19">
        <v>46972</v>
      </c>
      <c r="D9" s="20">
        <v>3598</v>
      </c>
      <c r="E9" s="18">
        <f>E8*1.05</f>
        <v>210</v>
      </c>
      <c r="F9" s="18">
        <v>41</v>
      </c>
      <c r="G9" s="18">
        <v>15</v>
      </c>
      <c r="H9" s="18">
        <f t="shared" ref="H9:H10" si="1">E9+F9+G9</f>
        <v>266</v>
      </c>
      <c r="I9" s="23">
        <f t="shared" ref="I9:I10" si="2">H9*D9</f>
        <v>957068</v>
      </c>
      <c r="J9" s="21">
        <v>0.12</v>
      </c>
    </row>
    <row r="10" spans="1:10" x14ac:dyDescent="0.35">
      <c r="A10" s="18" t="s">
        <v>17</v>
      </c>
      <c r="B10" s="19">
        <v>46973</v>
      </c>
      <c r="C10" s="19">
        <v>47337</v>
      </c>
      <c r="D10" s="20">
        <v>3598</v>
      </c>
      <c r="E10" s="18">
        <f>E9*1.05</f>
        <v>220.5</v>
      </c>
      <c r="F10" s="18">
        <v>42.02</v>
      </c>
      <c r="G10" s="18">
        <v>15</v>
      </c>
      <c r="H10" s="18">
        <f t="shared" si="1"/>
        <v>277.52</v>
      </c>
      <c r="I10" s="23">
        <f t="shared" si="2"/>
        <v>998516.96</v>
      </c>
      <c r="J10" s="21">
        <v>0.12</v>
      </c>
    </row>
    <row r="11" spans="1:10" x14ac:dyDescent="0.35">
      <c r="I11" s="24"/>
    </row>
    <row r="12" spans="1:10" x14ac:dyDescent="0.35">
      <c r="I12" s="24"/>
    </row>
    <row r="13" spans="1:10" x14ac:dyDescent="0.35">
      <c r="B13" s="22" t="s">
        <v>22</v>
      </c>
      <c r="C13" s="22" t="s">
        <v>23</v>
      </c>
      <c r="D13" s="22" t="s">
        <v>24</v>
      </c>
      <c r="E13" s="22" t="s">
        <v>25</v>
      </c>
      <c r="F13" s="22" t="s">
        <v>26</v>
      </c>
      <c r="G13" s="22" t="s">
        <v>27</v>
      </c>
      <c r="H13" s="22" t="s">
        <v>28</v>
      </c>
      <c r="I13" s="25" t="s">
        <v>29</v>
      </c>
      <c r="J13" s="22" t="s">
        <v>30</v>
      </c>
    </row>
    <row r="14" spans="1:10" x14ac:dyDescent="0.35">
      <c r="A14" s="18" t="s">
        <v>17</v>
      </c>
      <c r="B14" s="19">
        <v>46242</v>
      </c>
      <c r="C14" s="19">
        <v>46606</v>
      </c>
      <c r="D14" s="20">
        <v>3598</v>
      </c>
      <c r="E14" s="18">
        <v>180</v>
      </c>
      <c r="F14" s="18">
        <v>41</v>
      </c>
      <c r="G14" s="18">
        <v>15</v>
      </c>
      <c r="H14" s="18">
        <f>E14+F14+G14</f>
        <v>236</v>
      </c>
      <c r="I14" s="23">
        <f>H14*D14</f>
        <v>849128</v>
      </c>
      <c r="J14" s="21">
        <v>0.12</v>
      </c>
    </row>
    <row r="15" spans="1:10" x14ac:dyDescent="0.35">
      <c r="A15" s="18" t="s">
        <v>17</v>
      </c>
      <c r="B15" s="19">
        <v>46607</v>
      </c>
      <c r="C15" s="19">
        <v>46972</v>
      </c>
      <c r="D15" s="20">
        <v>3598</v>
      </c>
      <c r="E15" s="18">
        <f>E14*1.05</f>
        <v>189</v>
      </c>
      <c r="F15" s="18">
        <v>41</v>
      </c>
      <c r="G15" s="18">
        <v>15</v>
      </c>
      <c r="H15" s="18">
        <f t="shared" ref="H15:H16" si="3">E15+F15+G15</f>
        <v>245</v>
      </c>
      <c r="I15" s="23">
        <f t="shared" ref="I15:I16" si="4">H15*D15</f>
        <v>881510</v>
      </c>
      <c r="J15" s="21">
        <v>0.12</v>
      </c>
    </row>
    <row r="16" spans="1:10" x14ac:dyDescent="0.35">
      <c r="A16" s="18" t="s">
        <v>17</v>
      </c>
      <c r="B16" s="19">
        <v>46973</v>
      </c>
      <c r="C16" s="19">
        <v>47337</v>
      </c>
      <c r="D16" s="20">
        <v>3598</v>
      </c>
      <c r="E16" s="18">
        <f>E15*1.05</f>
        <v>198.45000000000002</v>
      </c>
      <c r="F16" s="18">
        <v>42.02</v>
      </c>
      <c r="G16" s="18">
        <v>15</v>
      </c>
      <c r="H16" s="18">
        <f t="shared" si="3"/>
        <v>255.47000000000003</v>
      </c>
      <c r="I16" s="23">
        <f t="shared" si="4"/>
        <v>919181.06</v>
      </c>
      <c r="J16" s="21">
        <v>0.12</v>
      </c>
    </row>
    <row r="17" spans="1:10" x14ac:dyDescent="0.35">
      <c r="I17" s="24"/>
    </row>
    <row r="18" spans="1:10" x14ac:dyDescent="0.35">
      <c r="B18" s="22" t="s">
        <v>22</v>
      </c>
      <c r="C18" s="22" t="s">
        <v>23</v>
      </c>
      <c r="D18" s="22" t="s">
        <v>24</v>
      </c>
      <c r="E18" s="22" t="s">
        <v>25</v>
      </c>
      <c r="F18" s="22" t="s">
        <v>26</v>
      </c>
      <c r="G18" s="22" t="s">
        <v>27</v>
      </c>
      <c r="H18" s="22" t="s">
        <v>28</v>
      </c>
      <c r="I18" s="25" t="s">
        <v>29</v>
      </c>
      <c r="J18" s="22" t="s">
        <v>30</v>
      </c>
    </row>
    <row r="19" spans="1:10" x14ac:dyDescent="0.35">
      <c r="A19" s="18" t="s">
        <v>17</v>
      </c>
      <c r="B19" s="19">
        <v>46242</v>
      </c>
      <c r="C19" s="19">
        <v>46606</v>
      </c>
      <c r="D19" s="20">
        <v>3598</v>
      </c>
      <c r="E19" s="18">
        <v>170</v>
      </c>
      <c r="F19" s="18">
        <v>41</v>
      </c>
      <c r="G19" s="18">
        <v>15</v>
      </c>
      <c r="H19" s="18">
        <f>E19+F19+G19</f>
        <v>226</v>
      </c>
      <c r="I19" s="23">
        <f>H19*D19</f>
        <v>813148</v>
      </c>
      <c r="J19" s="21">
        <v>0.12</v>
      </c>
    </row>
    <row r="20" spans="1:10" x14ac:dyDescent="0.35">
      <c r="A20" s="18" t="s">
        <v>17</v>
      </c>
      <c r="B20" s="19">
        <v>46607</v>
      </c>
      <c r="C20" s="19">
        <v>46972</v>
      </c>
      <c r="D20" s="20">
        <v>3598</v>
      </c>
      <c r="E20" s="18">
        <f>E19*1.05</f>
        <v>178.5</v>
      </c>
      <c r="F20" s="18">
        <v>41</v>
      </c>
      <c r="G20" s="18">
        <v>15</v>
      </c>
      <c r="H20" s="18">
        <f t="shared" ref="H20:H21" si="5">E20+F20+G20</f>
        <v>234.5</v>
      </c>
      <c r="I20" s="23">
        <f t="shared" ref="I20:I21" si="6">H20*D20</f>
        <v>843731</v>
      </c>
      <c r="J20" s="21">
        <v>0.12</v>
      </c>
    </row>
    <row r="21" spans="1:10" x14ac:dyDescent="0.35">
      <c r="A21" s="18" t="s">
        <v>17</v>
      </c>
      <c r="B21" s="19">
        <v>46973</v>
      </c>
      <c r="C21" s="19">
        <v>47337</v>
      </c>
      <c r="D21" s="20">
        <v>3598</v>
      </c>
      <c r="E21" s="18">
        <f>E20*1.05</f>
        <v>187.42500000000001</v>
      </c>
      <c r="F21" s="18">
        <v>42.02</v>
      </c>
      <c r="G21" s="18">
        <v>15</v>
      </c>
      <c r="H21" s="18">
        <f t="shared" si="5"/>
        <v>244.44500000000002</v>
      </c>
      <c r="I21" s="23">
        <f t="shared" si="6"/>
        <v>879513.1100000001</v>
      </c>
      <c r="J21" s="21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 (2)</vt:lpstr>
      <vt:lpstr>YR'26</vt:lpstr>
      <vt:lpstr>P &amp; L</vt:lpstr>
      <vt:lpstr>notes</vt:lpstr>
      <vt:lpstr>P &amp; L 5 Yrs</vt:lpstr>
      <vt:lpstr>Scenario</vt:lpstr>
      <vt:lpstr>Circle Mall 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Rashid Abdul Salam - Sharaf Electronics</dc:creator>
  <cp:lastModifiedBy>Karan Prasad - Sharaf DG</cp:lastModifiedBy>
  <dcterms:created xsi:type="dcterms:W3CDTF">2026-05-21T14:23:30Z</dcterms:created>
  <dcterms:modified xsi:type="dcterms:W3CDTF">2026-09-30T09:46:17Z</dcterms:modified>
</cp:coreProperties>
</file>