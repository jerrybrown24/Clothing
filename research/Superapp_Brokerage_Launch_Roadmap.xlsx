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Roadmap" sheetId="2" state="visible" r:id="rId4"/>
    <sheet name="Gantt" sheetId="3" state="visible" r:id="rId5"/>
    <sheet name="Gates" sheetId="4" state="visible" r:id="rId6"/>
    <sheet name="Roles" sheetId="5" state="visible" r:id="rId7"/>
    <sheet name="Budget" sheetId="6" state="visible" r:id="rId8"/>
    <sheet name="Deck Storyline" sheetId="7" state="visible" r:id="rId9"/>
    <sheet name="Sources" sheetId="8" state="visible" r:id="rId10"/>
  </sheets>
  <definedNames>
    <definedName function="false" hidden="true" localSheetId="1" name="_xlnm._FilterDatabase" vbProcedure="false">Roadmap!$A$4:$R$59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<sst xmlns="http://schemas.openxmlformats.org/spreadsheetml/2006/main" count="1041" uniqueCount="546">
  <si>
    <t xml:space="preserve">Property superapp: brokerage launch and pilot roadmap</t>
  </si>
  <si>
    <t xml:space="preserve">Phased plan to open a RERA-licensed brokerage, run a pilot in about 9-13 weeks, and raise funds. Change the yellow cell and every date recalculates.</t>
  </si>
  <si>
    <t xml:space="preserve">Inputs</t>
  </si>
  <si>
    <t xml:space="preserve">Project start date (Monday)</t>
  </si>
  <si>
    <t xml:space="preserve">Working week assumed Monday to Friday. Weekend is Saturday and Sunday.</t>
  </si>
  <si>
    <t xml:space="preserve">Pilot go-live date</t>
  </si>
  <si>
    <t xml:space="preserve">From milestone M2 in the Roadmap.</t>
  </si>
  <si>
    <t xml:space="preserve">Weeks from start to pilot go-live</t>
  </si>
  <si>
    <t xml:space="preserve">Phase summary</t>
  </si>
  <si>
    <t xml:space="preserve">Phase</t>
  </si>
  <si>
    <t xml:space="preserve">Goal</t>
  </si>
  <si>
    <t xml:space="preserve">Start wk</t>
  </si>
  <si>
    <t xml:space="preserve">End wk</t>
  </si>
  <si>
    <t xml:space="preserve">Tasks</t>
  </si>
  <si>
    <t xml:space="preserve">Done</t>
  </si>
  <si>
    <t xml:space="preserve">% done</t>
  </si>
  <si>
    <t xml:space="preserve">Cost AED</t>
  </si>
  <si>
    <t xml:space="preserve">P0 Validate</t>
  </si>
  <si>
    <t xml:space="preserve">Prove the problem is real and the model is legal</t>
  </si>
  <si>
    <t xml:space="preserve">P1 Set up</t>
  </si>
  <si>
    <t xml:space="preserve">Get licensed and operating</t>
  </si>
  <si>
    <t xml:space="preserve">P2 Pilot</t>
  </si>
  <si>
    <t xml:space="preserve">Build, launch and run a small real pilot</t>
  </si>
  <si>
    <t xml:space="preserve">P3 Raise</t>
  </si>
  <si>
    <t xml:space="preserve">Turn evidence into an investor round</t>
  </si>
  <si>
    <t xml:space="preserve">Total</t>
  </si>
  <si>
    <t xml:space="preserve">Gate status</t>
  </si>
  <si>
    <t xml:space="preserve">Gate</t>
  </si>
  <si>
    <t xml:space="preserve">Stage</t>
  </si>
  <si>
    <t xml:space="preserve">Criteria</t>
  </si>
  <si>
    <t xml:space="preserve">Met</t>
  </si>
  <si>
    <t xml:space="preserve">Not met</t>
  </si>
  <si>
    <t xml:space="preserve">Pending</t>
  </si>
  <si>
    <t xml:space="preserve">G0</t>
  </si>
  <si>
    <t xml:space="preserve">Week 6: problem and plan validated</t>
  </si>
  <si>
    <t xml:space="preserve">G1</t>
  </si>
  <si>
    <t xml:space="preserve">Week 8: licensed and pilot-ready</t>
  </si>
  <si>
    <t xml:space="preserve">G2</t>
  </si>
  <si>
    <t xml:space="preserve">Week 13: pilot proven</t>
  </si>
  <si>
    <t xml:space="preserve">G3</t>
  </si>
  <si>
    <t xml:space="preserve">Week 19-20: term sheet or first close</t>
  </si>
  <si>
    <t xml:space="preserve">How to use this workbook</t>
  </si>
  <si>
    <t xml:space="preserve">Roadmap: every task has an owner designation, a how-to, a deliverable and a cost estimate. Update Status weekly.</t>
  </si>
  <si>
    <t xml:space="preserve">Gantt: a visual of the same plan, drawn by formula. Do not type in it.</t>
  </si>
  <si>
    <t xml:space="preserve">Gates: four go / no-go checkpoints. Enter actual results in yellow cells.</t>
  </si>
  <si>
    <t xml:space="preserve">Roles: designations used as owners, with placeholder salaries. Budget: rolls up cost to the funding gap.</t>
  </si>
  <si>
    <t xml:space="preserve">Deck Storyline: slide-by-slide plan for the pitch deck, linked to the evidence you will collect.</t>
  </si>
  <si>
    <t xml:space="preserve">Colour code: blue text = input you can change; black = formula; yellow fill = cells you fill in.</t>
  </si>
  <si>
    <t xml:space="preserve">Compliance reminder: do not pay unlicensed people for introductions until the legal opinion (Roadmap 0.08) is in hand.</t>
  </si>
  <si>
    <t xml:space="preserve">Dependencies matter: the licence (tasks 1.02 to 1.10) is the longest chain and sets the earliest pilot date. Fallback in task 1.17.</t>
  </si>
  <si>
    <t xml:space="preserve">Roadmap: step-by-step plan with owners and milestones</t>
  </si>
  <si>
    <t xml:space="preserve">Blue = inputs you can change (start week, duration, cost, owner). Dates recalculate from the project start date on the Overview sheet.</t>
  </si>
  <si>
    <t xml:space="preserve">ID</t>
  </si>
  <si>
    <t xml:space="preserve">Workstream</t>
  </si>
  <si>
    <t xml:space="preserve">Task / milestone</t>
  </si>
  <si>
    <t xml:space="preserve">Type</t>
  </si>
  <si>
    <t xml:space="preserve">How to complete (step by step)</t>
  </si>
  <si>
    <t xml:space="preserve">Owner (designation)</t>
  </si>
  <si>
    <t xml:space="preserve">Support</t>
  </si>
  <si>
    <t xml:space="preserve">Dur (wks)</t>
  </si>
  <si>
    <t xml:space="preserve">Start date</t>
  </si>
  <si>
    <t xml:space="preserve">End date</t>
  </si>
  <si>
    <t xml:space="preserve">Depends on</t>
  </si>
  <si>
    <t xml:space="preserve">Deliverable / evidence of done</t>
  </si>
  <si>
    <t xml:space="preserve">Est. cost AED (excl. salaries)</t>
  </si>
  <si>
    <t xml:space="preserve">Status</t>
  </si>
  <si>
    <t xml:space="preserve">Notes / risk</t>
  </si>
  <si>
    <t xml:space="preserve">0.01</t>
  </si>
  <si>
    <t xml:space="preserve">Strategy</t>
  </si>
  <si>
    <t xml:space="preserve">Define wedge, ideal customer and 3 core hypotheses</t>
  </si>
  <si>
    <t xml:space="preserve">Task</t>
  </si>
  <si>
    <t xml:space="preserve">1) Pick one first customer (e.g. overseas buyer of AED 1-3m off-plan, or UAE first-time buyer). 2) Write the top 3 problems they have today. 3) List the hypotheses the survey must prove (see Survey workbook, H1-H10). 4) Decide what is in and out of the pilot.</t>
  </si>
  <si>
    <t xml:space="preserve">Founder &amp; CEO</t>
  </si>
  <si>
    <t xml:space="preserve">Co-founder &amp; CTO</t>
  </si>
  <si>
    <t xml:space="preserve">-</t>
  </si>
  <si>
    <t xml:space="preserve">One-page ICP and hypotheses</t>
  </si>
  <si>
    <t xml:space="preserve">Not started</t>
  </si>
  <si>
    <t xml:space="preserve">0.02</t>
  </si>
  <si>
    <t xml:space="preserve">Legal</t>
  </si>
  <si>
    <t xml:space="preserve">Founders agreement, vesting and IP assignment</t>
  </si>
  <si>
    <t xml:space="preserve">1) Agree equity split and vesting (e.g. 4 years, 1 year cliff). 2) Sign IP assignment so all code, designs and data belong to the company. 3) Keep signed copies for the data room.</t>
  </si>
  <si>
    <t xml:space="preserve">Legal Counsel</t>
  </si>
  <si>
    <t xml:space="preserve">Signed founders agreement</t>
  </si>
  <si>
    <t xml:space="preserve">Estimate. Get a fixed-fee quote.</t>
  </si>
  <si>
    <t xml:space="preserve">0.03</t>
  </si>
  <si>
    <t xml:space="preserve">Evidence</t>
  </si>
  <si>
    <t xml:space="preserve">Build the survey and test it with 5 people</t>
  </si>
  <si>
    <t xml:space="preserve">1) Load the questionnaire from the Survey workbook into Google Forms or Typeform. 2) Add the consent text. 3) Test with 5 people, fix unclear questions, check it takes under 10 minutes.</t>
  </si>
  <si>
    <t xml:space="preserve">Head of Growth</t>
  </si>
  <si>
    <t xml:space="preserve">Data Analyst</t>
  </si>
  <si>
    <t xml:space="preserve">Live survey link</t>
  </si>
  <si>
    <t xml:space="preserve">0.04</t>
  </si>
  <si>
    <t xml:space="preserve">Run the survey: reach 300+ respondents (50% overseas)</t>
  </si>
  <si>
    <t xml:space="preserve">1) Post in expat and investor WhatsApp, LinkedIn and Facebook groups and relevant subreddits. 2) Ask 20 friends to forward it. 3) Run AED 3,000 of targeted ads to overseas buyers. 4) Offer a small prize draw. 5) Track responses by segment weekly.</t>
  </si>
  <si>
    <t xml:space="preserve">300+ responses, segment quotas met</t>
  </si>
  <si>
    <t xml:space="preserve">Ads AED 3,000 + incentive AED 2,000 (estimate).</t>
  </si>
  <si>
    <t xml:space="preserve">0.05</t>
  </si>
  <si>
    <t xml:space="preserve">30 depth interviews with buyers, investors and tenants</t>
  </si>
  <si>
    <t xml:space="preserve">1) Recruit from survey respondents who opt in. 2) 30-40 minute calls using the interview guide (journey walk-through, last purchase, biggest frustration). 3) Record with consent, tag quotes by hypothesis.</t>
  </si>
  <si>
    <t xml:space="preserve">30 interview notes and 10 strong quotes</t>
  </si>
  <si>
    <t xml:space="preserve">Incentives, estimate.</t>
  </si>
  <si>
    <t xml:space="preserve">0.06</t>
  </si>
  <si>
    <t xml:space="preserve">Supply-side interviews: developers, brokerages, designers, furniture brands</t>
  </si>
  <si>
    <t xml:space="preserve">1) Speak to 10 developer sales or channel heads, 5 brokerages, 5 interior designers or furniture brands. 2) Ask about commission, inventory access, online booking, 3D assets. 3) Ask each for a letter of intent.</t>
  </si>
  <si>
    <t xml:space="preserve">Partnerships Lead (Developers &amp; Supply)</t>
  </si>
  <si>
    <t xml:space="preserve">20 interviews logged</t>
  </si>
  <si>
    <t xml:space="preserve">0.07</t>
  </si>
  <si>
    <t xml:space="preserve">Mystery-shop 6 competitors end to end</t>
  </si>
  <si>
    <t xml:space="preserve">1) Go through the buyer journey on Oliva, Huspy, PRYPCO, Property Finder, one developer app and one large brokerage. 2) Screenshot every step, time it and list gaps. 3) Summarise in a 1-page comparison.</t>
  </si>
  <si>
    <t xml:space="preserve">Product Designer</t>
  </si>
  <si>
    <t xml:space="preserve">Competitor teardown</t>
  </si>
  <si>
    <t xml:space="preserve">0.08</t>
  </si>
  <si>
    <t xml:space="preserve">Legal opinion: referral model, payments flow, 3D asset rights, data protection</t>
  </si>
  <si>
    <t xml:space="preserve">1) Brief a UAE real estate and fintech lawyer with the model. 2) Ask specifically: can unlicensed residents be paid for introductions, what is the safest structure, can the brokerage route payments to developer escrow, and who owns 3D and floor plan assets. 3) Get the answer in writing.</t>
  </si>
  <si>
    <t xml:space="preserve">Written legal opinion</t>
  </si>
  <si>
    <t xml:space="preserve">Estimate. Do not launch the resident referral track before this arrives.</t>
  </si>
  <si>
    <t xml:space="preserve">0.09</t>
  </si>
  <si>
    <t xml:space="preserve">Analyse survey and build the problem evidence pack</t>
  </si>
  <si>
    <t xml:space="preserve">1) Export responses into the Survey workbook Responses sheet. 2) Read the Analysis sheet for each hypothesis. 3) Pick the 5 strongest numbers and 5 quotes for the deck. 4) Note weak results honestly.</t>
  </si>
  <si>
    <t xml:space="preserve">0.04, 0.05</t>
  </si>
  <si>
    <t xml:space="preserve">Evidence pack (charts and quotes)</t>
  </si>
  <si>
    <t xml:space="preserve">0.10</t>
  </si>
  <si>
    <t xml:space="preserve">Deck</t>
  </si>
  <si>
    <t xml:space="preserve">Pitch deck v1: problem, market, solution, plan</t>
  </si>
  <si>
    <t xml:space="preserve">1) Follow the Deck Storyline sheet slide by slide. 2) Lead with the problem and the survey numbers. 3) Keep to 12-15 slides. 4) Mark pilot-results slides as placeholders.</t>
  </si>
  <si>
    <t xml:space="preserve">Deck v1 PDF</t>
  </si>
  <si>
    <t xml:space="preserve">Start the story in week 3, insert survey numbers in week 5.</t>
  </si>
  <si>
    <t xml:space="preserve">0.11</t>
  </si>
  <si>
    <t xml:space="preserve">Partnerships</t>
  </si>
  <si>
    <t xml:space="preserve">Collect letters of intent: 3 developers, 1 designer, 1 furniture partner</t>
  </si>
  <si>
    <t xml:space="preserve">1) Send a one-page LOI template (non-binding) after each interview. 2) Ask for commission rate, inventory access and 3D asset permission. 3) Follow up weekly.</t>
  </si>
  <si>
    <t xml:space="preserve">5 signed LOIs</t>
  </si>
  <si>
    <t xml:space="preserve">0.12</t>
  </si>
  <si>
    <t xml:space="preserve">Review deck v1 with 3-5 mentors or angels and revise</t>
  </si>
  <si>
    <t xml:space="preserve">1) Send deck with a 3-question feedback form. 2) Hold 20-minute calls. 3) Revise story, numbers and ask.</t>
  </si>
  <si>
    <t xml:space="preserve">Deck v1.1</t>
  </si>
  <si>
    <t xml:space="preserve">0.13</t>
  </si>
  <si>
    <t xml:space="preserve">GATE G0: problem and plan validated</t>
  </si>
  <si>
    <t xml:space="preserve">Review the G0 criteria in the Gates sheet. Go only if the survey, interviews, LOIs and legal opinion support the model. If not, adjust the wedge before spending on set-up.</t>
  </si>
  <si>
    <t xml:space="preserve">Advisors</t>
  </si>
  <si>
    <t xml:space="preserve">0.09, 0.11, 0.08</t>
  </si>
  <si>
    <t xml:space="preserve">Go / no-go decision recorded</t>
  </si>
  <si>
    <t xml:space="preserve">1.01</t>
  </si>
  <si>
    <t xml:space="preserve">Company</t>
  </si>
  <si>
    <t xml:space="preserve">Appoint setup consultant (PRO) and confirm entity route</t>
  </si>
  <si>
    <t xml:space="preserve">1) Get 3 fixed-fee quotes. 2) Confirm a Dubai mainland company under DET with the real estate brokerage activity is the right route. 3) Agree scope: DET licence, RERA registration, Ejari, visas.</t>
  </si>
  <si>
    <t xml:space="preserve">Business Setup Consultant / PRO</t>
  </si>
  <si>
    <t xml:space="preserve">Signed engagement</t>
  </si>
  <si>
    <t xml:space="preserve">Estimate; some packages bundle this.</t>
  </si>
  <si>
    <t xml:space="preserve">1.02</t>
  </si>
  <si>
    <t xml:space="preserve">People</t>
  </si>
  <si>
    <t xml:space="preserve">Hire a RERA-certified Broker-Manager</t>
  </si>
  <si>
    <t xml:space="preserve">1) A licensed manager who has passed the RERA exam must be named for the firm. 2) Source from your network and brokerage recruiters. 3) Agree a role including equity or bonus tied to licence and pilot.</t>
  </si>
  <si>
    <t xml:space="preserve">Offer letter signed</t>
  </si>
  <si>
    <t xml:space="preserve">Long lead item: start now.</t>
  </si>
  <si>
    <t xml:space="preserve">1.03</t>
  </si>
  <si>
    <t xml:space="preserve">Founder and manager complete RERA training (DREI CTREB course) and exam</t>
  </si>
  <si>
    <t xml:space="preserve">1) Book the 4-5 day Certified Training for Real Estate Brokers at the Dubai Real Estate Institute. 2) Sit the RERA exam. 3) Keep certificates for the licence file.</t>
  </si>
  <si>
    <t xml:space="preserve">Broker-Manager (Head of Brokerage)</t>
  </si>
  <si>
    <t xml:space="preserve">Exam passed</t>
  </si>
  <si>
    <t xml:space="preserve">Estimate AED 3,000-4,500 per person; skip if already certified.</t>
  </si>
  <si>
    <t xml:space="preserve">1.04</t>
  </si>
  <si>
    <t xml:space="preserve">Reserve trade name, draft MoA, get DET initial approval</t>
  </si>
  <si>
    <t xml:space="preserve">1) Choose 3 name options. 2) Draft MoA with shareholders and the manager. 3) Submit for initial approval through the PRO.</t>
  </si>
  <si>
    <t xml:space="preserve">Initial approval certificate</t>
  </si>
  <si>
    <t xml:space="preserve">1.05</t>
  </si>
  <si>
    <t xml:space="preserve">Lease a physical office or serviced desk and register Ejari</t>
  </si>
  <si>
    <t xml:space="preserve">1) RERA requires a real commercial address; virtual offices are not accepted. 2) Pick a flexi-desk or serviced office in a commercial building. 3) Get the tenancy contract and register Ejari.</t>
  </si>
  <si>
    <t xml:space="preserve">Tenancy contract and Ejari</t>
  </si>
  <si>
    <t xml:space="preserve">Estimate AED 15,000-40,000 per year.</t>
  </si>
  <si>
    <t xml:space="preserve">1.06</t>
  </si>
  <si>
    <t xml:space="preserve">Issue DET trade licence (real estate brokerage activity)</t>
  </si>
  <si>
    <t xml:space="preserve">1) PRO submits MoA, lease and approvals. 2) Pay licence fees. 3) Collect licence and establishment card.</t>
  </si>
  <si>
    <t xml:space="preserve">1.04, 1.05</t>
  </si>
  <si>
    <t xml:space="preserve">Trade licence</t>
  </si>
  <si>
    <t xml:space="preserve">Estimate AED 12,000-15,000.</t>
  </si>
  <si>
    <t xml:space="preserve">1.07</t>
  </si>
  <si>
    <t xml:space="preserve">Finance</t>
  </si>
  <si>
    <t xml:space="preserve">Open corporate bank account and deposit share capital</t>
  </si>
  <si>
    <t xml:space="preserve">1) Start bank onboarding as soon as the licence is issued. 2) Deposit the minimum capital (starts at AED 100,000 for a standard brokerage). 3) Set up payment and card access.</t>
  </si>
  <si>
    <t xml:space="preserve">Fractional CFO</t>
  </si>
  <si>
    <t xml:space="preserve">Active bank account</t>
  </si>
  <si>
    <t xml:space="preserve">Capital is not an expense; see Budget sheet.</t>
  </si>
  <si>
    <t xml:space="preserve">1.08</t>
  </si>
  <si>
    <t xml:space="preserve">Regulatory</t>
  </si>
  <si>
    <t xml:space="preserve">Register the brokerage with RERA / DLD (Trakheesi)</t>
  </si>
  <si>
    <t xml:space="preserve">1) Register the company as an authorised brokerage in Trakheesi once the DET licence is active and principals hold broker cards. 2) Pay the registration fee. 3) Get access to ad permits.</t>
  </si>
  <si>
    <t xml:space="preserve">1.03, 1.06</t>
  </si>
  <si>
    <t xml:space="preserve">RERA brokerage registration</t>
  </si>
  <si>
    <t xml:space="preserve">Estimate AED 5,000-10,000.</t>
  </si>
  <si>
    <t xml:space="preserve">1.09</t>
  </si>
  <si>
    <t xml:space="preserve">Issue broker cards for the manager and pilot agents</t>
  </si>
  <si>
    <t xml:space="preserve">1) Each agent completes training and the exam. 2) Apply through Trakheesi under the firm. 3) Cards are valid for a set period and must be renewed.</t>
  </si>
  <si>
    <t xml:space="preserve">At least 2 valid broker cards</t>
  </si>
  <si>
    <t xml:space="preserve">Estimate ~AED 5,000 per card.</t>
  </si>
  <si>
    <t xml:space="preserve">1.10</t>
  </si>
  <si>
    <t xml:space="preserve">Compliance</t>
  </si>
  <si>
    <t xml:space="preserve">Register on goAML, appoint compliance officer, write AML/KYC policy</t>
  </si>
  <si>
    <t xml:space="preserve">1) Brokers are DNFBPs under the UAE AML law. 2) Register on goAML. 3) Appoint a compliance officer. 4) Write a risk-based KYC policy: ID checks, source of funds, sanctions screening, reporting of cash AED 55,000+ and any virtual asset payment.</t>
  </si>
  <si>
    <t xml:space="preserve">Compliance &amp; AML Officer</t>
  </si>
  <si>
    <t xml:space="preserve">goAML account and approved policy</t>
  </si>
  <si>
    <t xml:space="preserve">Estimate for policy drafting.</t>
  </si>
  <si>
    <t xml:space="preserve">1.11</t>
  </si>
  <si>
    <t xml:space="preserve">Policies and templates: Forms A/B, commission agreements, T&amp;Cs, privacy, complaints</t>
  </si>
  <si>
    <t xml:space="preserve">1) Use RERA standard forms where required. 2) Draft customer T&amp;Cs, privacy notice (PDPL), referral terms and complaints process. 3) Lawyer review.</t>
  </si>
  <si>
    <t xml:space="preserve">Approved template pack</t>
  </si>
  <si>
    <t xml:space="preserve">Estimate.</t>
  </si>
  <si>
    <t xml:space="preserve">1.12</t>
  </si>
  <si>
    <t xml:space="preserve">Professional indemnity and trade insurance</t>
  </si>
  <si>
    <t xml:space="preserve">1) Get 3 quotes. 2) Choose cover for errors and omissions and general liability. 3) Keep the certificate for developers and investors.</t>
  </si>
  <si>
    <t xml:space="preserve">Insurance certificate</t>
  </si>
  <si>
    <t xml:space="preserve">1.13</t>
  </si>
  <si>
    <t xml:space="preserve">Sign developer broker agreements (3-5) and get portal access</t>
  </si>
  <si>
    <t xml:space="preserve">1) Convert LOIs into broker agreements. 2) Get access to sales portals and live price lists. 3) Confirm commission rate and payout timing in writing.</t>
  </si>
  <si>
    <t xml:space="preserve">0.11, 1.08</t>
  </si>
  <si>
    <t xml:space="preserve">3+ signed agreements</t>
  </si>
  <si>
    <t xml:space="preserve">Needs RERA registration to finish.</t>
  </si>
  <si>
    <t xml:space="preserve">1.14</t>
  </si>
  <si>
    <t xml:space="preserve">Operations</t>
  </si>
  <si>
    <t xml:space="preserve">Payment flow: route to developer escrow / trustee, brokerage never holds client funds</t>
  </si>
  <si>
    <t xml:space="preserve">1) Map each payment type (booking, instalments, DLD fee, trustee fee). 2) Confirm with the lawyer who holds what. 3) Pick a licensed payment partner for platform fees only.</t>
  </si>
  <si>
    <t xml:space="preserve">Approved payment flow diagram</t>
  </si>
  <si>
    <t xml:space="preserve">1.15</t>
  </si>
  <si>
    <t xml:space="preserve">Set up Trakheesi permit and Madmoun QR workflow for pilot listings</t>
  </si>
  <si>
    <t xml:space="preserve">1) Create one permit per listed unit. 2) Add the QR to every ad and unit page. 3) Delist within 3 working days of a sale or rental.</t>
  </si>
  <si>
    <t xml:space="preserve">Permit workflow tested</t>
  </si>
  <si>
    <t xml:space="preserve">1.16</t>
  </si>
  <si>
    <t xml:space="preserve">Milestone</t>
  </si>
  <si>
    <t xml:space="preserve">MILESTONE M1: brokerage licensed and operating</t>
  </si>
  <si>
    <t xml:space="preserve">DET licence issued, RERA registration done, broker cards held, goAML registered. If not done by week 8, trigger task 1.17.</t>
  </si>
  <si>
    <t xml:space="preserve">1.06, 1.08, 1.09, 1.10</t>
  </si>
  <si>
    <t xml:space="preserve">Licence pack in data room</t>
  </si>
  <si>
    <t xml:space="preserve">1.17</t>
  </si>
  <si>
    <t xml:space="preserve">Contingency</t>
  </si>
  <si>
    <t xml:space="preserve">If licence is late: run the pilot through a licensed partner brokerage</t>
  </si>
  <si>
    <t xml:space="preserve">1) Decision point at week 8. 2) Only after the lawyer confirms the structure, run the pilot as co-brokerage with a licensed firm. 3) Move to your own licence once issued.</t>
  </si>
  <si>
    <t xml:space="preserve">Decision recorded</t>
  </si>
  <si>
    <t xml:space="preserve">Fallback to protect the pilot date.</t>
  </si>
  <si>
    <t xml:space="preserve">2.01</t>
  </si>
  <si>
    <t xml:space="preserve">Product</t>
  </si>
  <si>
    <t xml:space="preserve">Define pilot scope, target segment and success metrics</t>
  </si>
  <si>
    <t xml:space="preserve">1) Choose 1 segment and 3 developers. 2) Set targets (see G2 in the Gates sheet). 3) Decide what is manual behind the scenes.</t>
  </si>
  <si>
    <t xml:space="preserve">Pilot charter</t>
  </si>
  <si>
    <t xml:space="preserve">2.02</t>
  </si>
  <si>
    <t xml:space="preserve">Clickable prototype of the core journey (insights, 3D, reserve, tracker)</t>
  </si>
  <si>
    <t xml:space="preserve">1) Design 12-15 screens in Figma. 2) Link them into a clickable flow. 3) Use it in investor and user meetings.</t>
  </si>
  <si>
    <t xml:space="preserve">Figma prototype</t>
  </si>
  <si>
    <t xml:space="preserve">2.03</t>
  </si>
  <si>
    <t xml:space="preserve">Test the prototype with 10 users and iterate</t>
  </si>
  <si>
    <t xml:space="preserve">1) Run 30-minute sessions. 2) Measure task success and time. 3) Fix the top 5 issues.</t>
  </si>
  <si>
    <t xml:space="preserve">Test report</t>
  </si>
  <si>
    <t xml:space="preserve">2.04</t>
  </si>
  <si>
    <t xml:space="preserve">Insights v0: data sources and 5 insight cards</t>
  </si>
  <si>
    <t xml:space="preserve">1) Source Dubai Land Department open data and get a quote for a licensed data feed. 2) Build 5 cards: price per sq ft trend, rental yield, supply pipeline, developer delivery record, service charge. 3) Show data source and date on every card.</t>
  </si>
  <si>
    <t xml:space="preserve">5 live insight cards</t>
  </si>
  <si>
    <t xml:space="preserve">Estimate for data licence.</t>
  </si>
  <si>
    <t xml:space="preserve">2.05</t>
  </si>
  <si>
    <t xml:space="preserve">3D / virtual tour for 10 units via developer assets or a viewer partner</t>
  </si>
  <si>
    <t xml:space="preserve">1) Ask developers for their 3D and floor plan files. 2) Get written permission to display them. 3) Embed a viewer. 4) Do not build in-house 3D for the pilot.</t>
  </si>
  <si>
    <t xml:space="preserve">10 units with 3D view and signed asset permission</t>
  </si>
  <si>
    <t xml:space="preserve">2.06</t>
  </si>
  <si>
    <t xml:space="preserve">Documents and payment reminders v0</t>
  </si>
  <si>
    <t xml:space="preserve">1) Build a checklist per deal type (off-plan, ready, rent). 2) Add a document vault. 3) Send reminders for instalments and registrations by email or WhatsApp. 4) Use no-code tools and a contractor first.</t>
  </si>
  <si>
    <t xml:space="preserve">Working tracker for 5 test deals</t>
  </si>
  <si>
    <t xml:space="preserve">2.07</t>
  </si>
  <si>
    <t xml:space="preserve">Furniture and interior designer pilot with 1 designer and 1 retailer</t>
  </si>
  <si>
    <t xml:space="preserve">1) Agree an affiliate or booking-fee deal. 2) Add a simple "design my unit" request form. 3) Do not build augmented reality design tools yet.</t>
  </si>
  <si>
    <t xml:space="preserve">Partner terms and landing page</t>
  </si>
  <si>
    <t xml:space="preserve">2.08</t>
  </si>
  <si>
    <t xml:space="preserve">Growth</t>
  </si>
  <si>
    <t xml:space="preserve">Referral programme v0 (licensed referrers only; residents only if the legal opinion allows)</t>
  </si>
  <si>
    <t xml:space="preserve">1) Write referral rules, tracking links and payout timing. 2) Pay only licensed agents or as confirmed by the lawyer. 3) Add a path to become licensed through your firm.</t>
  </si>
  <si>
    <t xml:space="preserve">Referral terms and tracking</t>
  </si>
  <si>
    <t xml:space="preserve">Estimate. Compliance critical.</t>
  </si>
  <si>
    <t xml:space="preserve">2.09</t>
  </si>
  <si>
    <t xml:space="preserve">Operations playbook: enquiry to KYC to reservation to SPA to Oqood to tracker</t>
  </si>
  <si>
    <t xml:space="preserve">1) Write the step list with who does what and how long each takes. 2) Add a checklist for every handover. 3) Practise on test deals.</t>
  </si>
  <si>
    <t xml:space="preserve">SOP document</t>
  </si>
  <si>
    <t xml:space="preserve">2.10</t>
  </si>
  <si>
    <t xml:space="preserve">Recruit pilot cohort: 150 sign-ups, 5-10 referrers, 150+ units live</t>
  </si>
  <si>
    <t xml:space="preserve">1) Invite opted-in survey respondents. 2) Onboard referrers. 3) Load units from signed developers with permits.</t>
  </si>
  <si>
    <t xml:space="preserve">0.04, 1.13</t>
  </si>
  <si>
    <t xml:space="preserve">Cohort list</t>
  </si>
  <si>
    <t xml:space="preserve">2.11</t>
  </si>
  <si>
    <t xml:space="preserve">Weekly KPI dashboard: leads, reservations, CAC, NPS</t>
  </si>
  <si>
    <t xml:space="preserve">1) Track sign-ups, qualified leads, reservations, SPA signed, CAC and NPS. 2) Refresh every Monday. 3) Share with advisors.</t>
  </si>
  <si>
    <t xml:space="preserve">Dashboard live</t>
  </si>
  <si>
    <t xml:space="preserve">2.12</t>
  </si>
  <si>
    <t xml:space="preserve">Internal dry run: 5 end-to-end test journeys</t>
  </si>
  <si>
    <t xml:space="preserve">1) Run 5 mock deals through KYC, reservation, documents and reminders. 2) Fix breakages. 3) Sign off compliance.</t>
  </si>
  <si>
    <t xml:space="preserve">1.16, 2.06</t>
  </si>
  <si>
    <t xml:space="preserve">Dry-run report</t>
  </si>
  <si>
    <t xml:space="preserve">2.13</t>
  </si>
  <si>
    <t xml:space="preserve">GATE G1: pilot-ready decision</t>
  </si>
  <si>
    <t xml:space="preserve">Check G1 criteria in the Gates sheet. Go live only if licensed, developers signed and dry run passed.</t>
  </si>
  <si>
    <t xml:space="preserve">1.16, 2.12</t>
  </si>
  <si>
    <t xml:space="preserve">Go-live approved</t>
  </si>
  <si>
    <t xml:space="preserve">2.14</t>
  </si>
  <si>
    <t xml:space="preserve">MILESTONE M2: pilot go-live</t>
  </si>
  <si>
    <t xml:space="preserve">Open the pilot to the cohort with real inventory and real transactions.</t>
  </si>
  <si>
    <t xml:space="preserve">Pilot live</t>
  </si>
  <si>
    <t xml:space="preserve">2.15</t>
  </si>
  <si>
    <t xml:space="preserve">Run the pilot with weekly KPI review</t>
  </si>
  <si>
    <t xml:space="preserve">1) Weekly 30-minute review of KPIs and user feedback. 2) Fix the top issue each week. 3) Log every closed deal with commission received.</t>
  </si>
  <si>
    <t xml:space="preserve">5 weekly KPI reports</t>
  </si>
  <si>
    <t xml:space="preserve">Marketing budget, estimate.</t>
  </si>
  <si>
    <t xml:space="preserve">2.16</t>
  </si>
  <si>
    <t xml:space="preserve">Capture testimonials, case studies and partner confirmations</t>
  </si>
  <si>
    <t xml:space="preserve">1) Ask each pilot customer for a short quote and permission. 2) Write 2 case studies. 3) Get developers to confirm results in an email.</t>
  </si>
  <si>
    <t xml:space="preserve">2 case studies, 5 quotes</t>
  </si>
  <si>
    <t xml:space="preserve">2.17</t>
  </si>
  <si>
    <t xml:space="preserve">GATE G2: pilot proven</t>
  </si>
  <si>
    <t xml:space="preserve">Compare actual pilot results with targets in the Gates sheet. Present to advisors.</t>
  </si>
  <si>
    <t xml:space="preserve">Pilot results report</t>
  </si>
  <si>
    <t xml:space="preserve">3.01</t>
  </si>
  <si>
    <t xml:space="preserve">Fundraising</t>
  </si>
  <si>
    <t xml:space="preserve">Investor target list (50) and warm-introduction map; apply to startup programmes</t>
  </si>
  <si>
    <t xml:space="preserve">1) List angels, seed funds and strategic investors active in UAE proptech. 2) Map warm intros through advisors and founders. 3) Apply to local accelerators or support programmes.</t>
  </si>
  <si>
    <t xml:space="preserve">Investor CRM sheet</t>
  </si>
  <si>
    <t xml:space="preserve">3.02</t>
  </si>
  <si>
    <t xml:space="preserve">Three-year monthly financial model and use of funds</t>
  </si>
  <si>
    <t xml:space="preserve">1) Build from pilot unit economics. 2) Show revenue by stream, CAC, margin and runway. 3) State the raise and the milestones it funds.</t>
  </si>
  <si>
    <t xml:space="preserve">Financial model (xlsx)</t>
  </si>
  <si>
    <t xml:space="preserve">3.03</t>
  </si>
  <si>
    <t xml:space="preserve">Cap table, funding instrument (SAFE or equity), ESOP and legal readiness</t>
  </si>
  <si>
    <t xml:space="preserve">1) Choose instrument and valuation range. 2) Set up the cap table. 3) Prepare standard documents.</t>
  </si>
  <si>
    <t xml:space="preserve">Investment-ready legal pack</t>
  </si>
  <si>
    <t xml:space="preserve">3.04</t>
  </si>
  <si>
    <t xml:space="preserve">Build the data room</t>
  </si>
  <si>
    <t xml:space="preserve">1) Folders: company, licences, legal opinion, LOIs, survey data, pilot data, model, cap table, IP. 2) Keep access logs. 3) Update weekly.</t>
  </si>
  <si>
    <t xml:space="preserve">Data room link</t>
  </si>
  <si>
    <t xml:space="preserve">3.05</t>
  </si>
  <si>
    <t xml:space="preserve">Pitch deck v2 with pilot results</t>
  </si>
  <si>
    <t xml:space="preserve">1) Replace placeholders with real pilot numbers. 2) Add case studies and quotes. 3) Rehearse a 10-minute pitch and a 5-minute version.</t>
  </si>
  <si>
    <t xml:space="preserve">Deck v2</t>
  </si>
  <si>
    <t xml:space="preserve">3.06</t>
  </si>
  <si>
    <t xml:space="preserve">Investor outreach and first meetings</t>
  </si>
  <si>
    <t xml:space="preserve">1) Send 10 intros a week. 2) Book 25 first meetings. 3) Track feedback and objections.</t>
  </si>
  <si>
    <t xml:space="preserve">25 meetings held</t>
  </si>
  <si>
    <t xml:space="preserve">3.07</t>
  </si>
  <si>
    <t xml:space="preserve">Follow-ups and due diligence responses</t>
  </si>
  <si>
    <t xml:space="preserve">1) Reply within 24 hours. 2) Share data room access. 3) Negotiate terms with the lawyer.</t>
  </si>
  <si>
    <t xml:space="preserve">Diligence closed</t>
  </si>
  <si>
    <t xml:space="preserve">3.08</t>
  </si>
  <si>
    <t xml:space="preserve">GATE G3: term sheet or first close</t>
  </si>
  <si>
    <t xml:space="preserve">Check G3 criteria in the Gates sheet.</t>
  </si>
  <si>
    <t xml:space="preserve">Term sheet signed</t>
  </si>
  <si>
    <t xml:space="preserve">Total est. cost (third-party and government fees)</t>
  </si>
  <si>
    <t xml:space="preserve">Cost figures are estimates from published ranges (see Sources) and must be replaced with quotes.</t>
  </si>
  <si>
    <t xml:space="preserve">Gantt: 20-week view</t>
  </si>
  <si>
    <t xml:space="preserve">Bars are drawn by formula from Start wk and Dur on the Roadmap sheet. Colour = phase.</t>
  </si>
  <si>
    <t xml:space="preserve">Week</t>
  </si>
  <si>
    <t xml:space="preserve">Owner</t>
  </si>
  <si>
    <t xml:space="preserve">Gates: investor-facing go / no-go criteria</t>
  </si>
  <si>
    <t xml:space="preserve">Targets are suggestions (blue). Enter actual results in the yellow cells; Status updates by formula.</t>
  </si>
  <si>
    <t xml:space="preserve">Criterion</t>
  </si>
  <si>
    <t xml:space="preserve">Test</t>
  </si>
  <si>
    <t xml:space="preserve">Target</t>
  </si>
  <si>
    <t xml:space="preserve">Actual (enter)</t>
  </si>
  <si>
    <t xml:space="preserve">Evidence source</t>
  </si>
  <si>
    <t xml:space="preserve">Survey responses collected</t>
  </si>
  <si>
    <t xml:space="preserve">&gt;=</t>
  </si>
  <si>
    <t xml:space="preserve">Survey export row count</t>
  </si>
  <si>
    <t xml:space="preserve">Respondents rating reliable information or verification as hard (4-5), %</t>
  </si>
  <si>
    <t xml:space="preserve">Survey Analysis sheet, H1</t>
  </si>
  <si>
    <t xml:space="preserve">Depth interviews completed</t>
  </si>
  <si>
    <t xml:space="preserve">Interview notes</t>
  </si>
  <si>
    <t xml:space="preserve">Letters of intent from developers</t>
  </si>
  <si>
    <t xml:space="preserve">Signed LOIs</t>
  </si>
  <si>
    <t xml:space="preserve">Written legal opinion received (1 = yes)</t>
  </si>
  <si>
    <t xml:space="preserve">Law firm letter</t>
  </si>
  <si>
    <t xml:space="preserve">Mentors who reviewed deck v1</t>
  </si>
  <si>
    <t xml:space="preserve">Feedback forms</t>
  </si>
  <si>
    <t xml:space="preserve">DET trade licence issued (1 = yes)</t>
  </si>
  <si>
    <t xml:space="preserve">Licence copy</t>
  </si>
  <si>
    <t xml:space="preserve">RERA brokerage registration done (1 = yes)</t>
  </si>
  <si>
    <t xml:space="preserve">Trakheesi record</t>
  </si>
  <si>
    <t xml:space="preserve">Valid broker cards held</t>
  </si>
  <si>
    <t xml:space="preserve">Card copies</t>
  </si>
  <si>
    <t xml:space="preserve">goAML registered, AML policy approved (1 = yes)</t>
  </si>
  <si>
    <t xml:space="preserve">goAML confirmation</t>
  </si>
  <si>
    <t xml:space="preserve">Signed developer agreements</t>
  </si>
  <si>
    <t xml:space="preserve">Agreements</t>
  </si>
  <si>
    <t xml:space="preserve">Units live with permits</t>
  </si>
  <si>
    <t xml:space="preserve">Inventory sheet</t>
  </si>
  <si>
    <t xml:space="preserve">Dry-run journeys passed</t>
  </si>
  <si>
    <t xml:space="preserve">Pilot sign-ups</t>
  </si>
  <si>
    <t xml:space="preserve">Dashboard</t>
  </si>
  <si>
    <t xml:space="preserve">Qualified leads</t>
  </si>
  <si>
    <t xml:space="preserve">Reservations or bookings</t>
  </si>
  <si>
    <t xml:space="preserve">SPAs or tenancy contracts signed</t>
  </si>
  <si>
    <t xml:space="preserve">Pilot NPS (-100 to 100)</t>
  </si>
  <si>
    <t xml:space="preserve">Pilot survey</t>
  </si>
  <si>
    <t xml:space="preserve">Cost per qualified lead, AED</t>
  </si>
  <si>
    <t xml:space="preserve">&lt;=</t>
  </si>
  <si>
    <t xml:space="preserve">First investor meetings held</t>
  </si>
  <si>
    <t xml:space="preserve">Investor CRM</t>
  </si>
  <si>
    <t xml:space="preserve">Second meetings</t>
  </si>
  <si>
    <t xml:space="preserve">Term sheets received</t>
  </si>
  <si>
    <t xml:space="preserve">Example (not counted): Survey responses collected; Target 300; Actual 312 -&gt; Status shows "Met".</t>
  </si>
  <si>
    <t xml:space="preserve">Roles and owners</t>
  </si>
  <si>
    <t xml:space="preserve">Owner designations used in the Roadmap. Salaries are placeholders (assumptions) to be replaced with real quotes. External firms are costed in Roadmap tasks, not here.</t>
  </si>
  <si>
    <t xml:space="preserve">Designation</t>
  </si>
  <si>
    <t xml:space="preserve">Key responsibilities</t>
  </si>
  <si>
    <t xml:space="preserve">Must hold</t>
  </si>
  <si>
    <t xml:space="preserve">Needed from week</t>
  </si>
  <si>
    <t xml:space="preserve">Monthly cost AED (assumption)</t>
  </si>
  <si>
    <t xml:space="preserve">Months in plan (to wk 13)</t>
  </si>
  <si>
    <t xml:space="preserve">Total AED</t>
  </si>
  <si>
    <t xml:space="preserve">Founder</t>
  </si>
  <si>
    <t xml:space="preserve">Vision, fundraising, investor relations, legal/entity decisions, final owner of pitch deck and gates</t>
  </si>
  <si>
    <t xml:space="preserve">Broker card if acting as licensed manager (optional)</t>
  </si>
  <si>
    <t xml:space="preserve">Product, tech architecture, MVP build, data and security</t>
  </si>
  <si>
    <t xml:space="preserve">Hire</t>
  </si>
  <si>
    <t xml:space="preserve">Licensed manager named on the RERA registration; runs deals, agent compliance, Form A/B/F handling, Trakheesi permits</t>
  </si>
  <si>
    <t xml:space="preserve">RERA broker card + passed RERA exam (CTREB)</t>
  </si>
  <si>
    <t xml:space="preserve">Fractional hire</t>
  </si>
  <si>
    <t xml:space="preserve">goAML registration, KYC/AML policy, suspicious transaction and cash (AED 55k+) reporting, PDPL data protection</t>
  </si>
  <si>
    <t xml:space="preserve">AML/CFT training; registered with MoET as DNFBP</t>
  </si>
  <si>
    <t xml:space="preserve">Survey, lead generation, referral programme, paid and community channels, CAC tracking</t>
  </si>
  <si>
    <t xml:space="preserve">Developer agreements, inventory feeds, 3D asset rights, designer and furniture partners</t>
  </si>
  <si>
    <t xml:space="preserve">Freelance</t>
  </si>
  <si>
    <t xml:space="preserve">Prototype, user tests, UI for insights, 3D viewer, tracker</t>
  </si>
  <si>
    <t xml:space="preserve">Freelance / part-time</t>
  </si>
  <si>
    <t xml:space="preserve">Survey analysis, insights engine v0, pilot KPI dashboard</t>
  </si>
  <si>
    <t xml:space="preserve">Fractional</t>
  </si>
  <si>
    <t xml:space="preserve">Budget, financial model, cap table, data room, investor Q&amp;A</t>
  </si>
  <si>
    <t xml:space="preserve">Licensed Sales Agents (x2)</t>
  </si>
  <si>
    <t xml:space="preserve">Hire (pilot)</t>
  </si>
  <si>
    <t xml:space="preserve">Close pilot deals under the brokerage; follow scripts and compliance rules</t>
  </si>
  <si>
    <t xml:space="preserve">RERA broker card each</t>
  </si>
  <si>
    <t xml:space="preserve">External law firm</t>
  </si>
  <si>
    <t xml:space="preserve">Legal opinion on referral model and payments flow, templates, T&amp;Cs, PDPL, cap table docs</t>
  </si>
  <si>
    <t xml:space="preserve">UAE-qualified</t>
  </si>
  <si>
    <t xml:space="preserve">External</t>
  </si>
  <si>
    <t xml:space="preserve">DET trade licence, RERA registration, Ejari, visas, government portals</t>
  </si>
  <si>
    <t xml:space="preserve">Total people cost</t>
  </si>
  <si>
    <t xml:space="preserve">Assumption: founders take no salary during the pilot. Replace with your own numbers; blue = input.</t>
  </si>
  <si>
    <t xml:space="preserve">Budget to reach pilot results and investor outreach</t>
  </si>
  <si>
    <t xml:space="preserve">Estimates only. Blue = input. Replace with quotes. Salaries come from the Roles sheet; third-party costs come from the Roadmap sheet.</t>
  </si>
  <si>
    <t xml:space="preserve">Line</t>
  </si>
  <si>
    <t xml:space="preserve">AED</t>
  </si>
  <si>
    <t xml:space="preserve">Basis</t>
  </si>
  <si>
    <t xml:space="preserve">A. Third-party and government costs by phase</t>
  </si>
  <si>
    <t xml:space="preserve">Roadmap sheet</t>
  </si>
  <si>
    <t xml:space="preserve">Roadmap sheet: licence, office, cards, insurance</t>
  </si>
  <si>
    <t xml:space="preserve">Roadmap sheet: product, data, marketing</t>
  </si>
  <si>
    <t xml:space="preserve">Roadmap sheet: legal</t>
  </si>
  <si>
    <t xml:space="preserve">Subtotal A</t>
  </si>
  <si>
    <t xml:space="preserve">B. People costs (to week 13)</t>
  </si>
  <si>
    <t xml:space="preserve">Roles sheet</t>
  </si>
  <si>
    <t xml:space="preserve">C. Contingency rate</t>
  </si>
  <si>
    <t xml:space="preserve">Assumption: 15% of A + B</t>
  </si>
  <si>
    <t xml:space="preserve">Contingency amount</t>
  </si>
  <si>
    <t xml:space="preserve">Operating cash needed (A + B + contingency)</t>
  </si>
  <si>
    <t xml:space="preserve">D. Share capital to deposit (not an expense)</t>
  </si>
  <si>
    <t xml:space="preserve">Source: minimum capital for a standard RERA brokerage starts at AED 100,000 (Takween Advisory). Confirm with your PRO.</t>
  </si>
  <si>
    <t xml:space="preserve">Total cash to have available</t>
  </si>
  <si>
    <t xml:space="preserve">Funds already committed by founders (enter)</t>
  </si>
  <si>
    <t xml:space="preserve">Enter your own number</t>
  </si>
  <si>
    <t xml:space="preserve">Funding gap</t>
  </si>
  <si>
    <t xml:space="preserve">Amount to bridge before or through the raise</t>
  </si>
  <si>
    <t xml:space="preserve">Funding gap in USD (at 3.6725)</t>
  </si>
  <si>
    <t xml:space="preserve">AED is pegged to USD at 3.6725</t>
  </si>
  <si>
    <t xml:space="preserve">Pitch deck storyline</t>
  </si>
  <si>
    <t xml:space="preserve">Problem-first. Each slide lists the evidence it needs and where that evidence comes from in this plan.</t>
  </si>
  <si>
    <t xml:space="preserve">Slide</t>
  </si>
  <si>
    <t xml:space="preserve">Title</t>
  </si>
  <si>
    <t xml:space="preserve">Key message</t>
  </si>
  <si>
    <t xml:space="preserve">Evidence needed and source</t>
  </si>
  <si>
    <t xml:space="preserve">Draft by week</t>
  </si>
  <si>
    <t xml:space="preserve">Cover and one-liner</t>
  </si>
  <si>
    <t xml:space="preserve">One sentence: what you do, for whom, and the outcome.</t>
  </si>
  <si>
    <t xml:space="preserve">Name, logo, one-liner, contact</t>
  </si>
  <si>
    <t xml:space="preserve">The problem</t>
  </si>
  <si>
    <t xml:space="preserve">Buying property in the UAE is slow, opaque and risky, especially for overseas buyers. Show 3 pains with numbers.</t>
  </si>
  <si>
    <t xml:space="preserve">Survey: H1 reliable information, H2 inaccurate listings, H3 hidden costs, H4 paperwork; 5 quotes</t>
  </si>
  <si>
    <t xml:space="preserve">Who feels it</t>
  </si>
  <si>
    <t xml:space="preserve">Name the first customer and show how many there are.</t>
  </si>
  <si>
    <t xml:space="preserve">Survey segments; DLD data: foreign buyers 85-88% of transactions; buyer origins</t>
  </si>
  <si>
    <t xml:space="preserve">Why now</t>
  </si>
  <si>
    <t xml:space="preserve">Digital transfer is live (DLD Digital Sale, ADREC digital journey), record volumes, new broker rules.</t>
  </si>
  <si>
    <t xml:space="preserve">DLD and ADREC announcements; market volumes 2025 and H1 2026</t>
  </si>
  <si>
    <t xml:space="preserve">The solution</t>
  </si>
  <si>
    <t xml:space="preserve">One app and one accountable company from research to keys.</t>
  </si>
  <si>
    <t xml:space="preserve">Journey map; one-page flow diagram</t>
  </si>
  <si>
    <t xml:space="preserve">The product</t>
  </si>
  <si>
    <t xml:space="preserve">Screens: insights, 3D view, document and payment tracker, design and furniture.</t>
  </si>
  <si>
    <t xml:space="preserve">Figma prototype (Roadmap 2.02); user test result (2.03)</t>
  </si>
  <si>
    <t xml:space="preserve">How we make money</t>
  </si>
  <si>
    <t xml:space="preserve">Developer commission 3-7%, resale 2% fee, mortgage referral, furniture and design, B2B data. Show unit economics for one deal.</t>
  </si>
  <si>
    <t xml:space="preserve">Earlier research brief; pilot actual commission (Roadmap 2.15)</t>
  </si>
  <si>
    <t xml:space="preserve">Market size</t>
  </si>
  <si>
    <t xml:space="preserve">Top-down and bottom-up. Fee pool vs total transaction value.</t>
  </si>
  <si>
    <t xml:space="preserve">Earlier research brief: TAM, SAM, SOM</t>
  </si>
  <si>
    <t xml:space="preserve">Traction and pilot results</t>
  </si>
  <si>
    <t xml:space="preserve">Waitlist, LOIs, pilot KPIs, quotes, case studies.</t>
  </si>
  <si>
    <t xml:space="preserve">Gates G0 and G2; Roadmap 2.16</t>
  </si>
  <si>
    <t xml:space="preserve">Go-to-market and referral engine</t>
  </si>
  <si>
    <t xml:space="preserve">How customers arrive, why the referral network is compliant and scalable.</t>
  </si>
  <si>
    <t xml:space="preserve">Survey G section (willingness to refer); legal opinion (Roadmap 0.08); referral terms (2.08)</t>
  </si>
  <si>
    <t xml:space="preserve">Competition and edge</t>
  </si>
  <si>
    <t xml:space="preserve">Honest map of portals, Huspy, PRYPCO, Oliva; what you do that they do not.</t>
  </si>
  <si>
    <t xml:space="preserve">Mystery-shop teardown (Roadmap 0.07)</t>
  </si>
  <si>
    <t xml:space="preserve">Regulation and risk</t>
  </si>
  <si>
    <t xml:space="preserve">Licensed brokerage, AML, escrow routing, data protection. Investors worry most about this slide.</t>
  </si>
  <si>
    <t xml:space="preserve">Licence pack (M1), goAML, payment flow (1.14), insurance</t>
  </si>
  <si>
    <t xml:space="preserve">Team and advisors</t>
  </si>
  <si>
    <t xml:space="preserve">Why this team wins: licence holder, tech, partnerships, advisors.</t>
  </si>
  <si>
    <t xml:space="preserve">Financials and milestones</t>
  </si>
  <si>
    <t xml:space="preserve">3-year view and the milestones the money buys.</t>
  </si>
  <si>
    <t xml:space="preserve">Financial model (Roadmap 3.02); Budget sheet</t>
  </si>
  <si>
    <t xml:space="preserve">The ask and use of funds</t>
  </si>
  <si>
    <t xml:space="preserve">Amount, instrument, runway, what it unlocks.</t>
  </si>
  <si>
    <t xml:space="preserve">Budget sheet; Gate G3</t>
  </si>
  <si>
    <t xml:space="preserve">Appendix</t>
  </si>
  <si>
    <t xml:space="preserve">Survey detail, interview themes, legal summary, product roadmap.</t>
  </si>
  <si>
    <t xml:space="preserve">Survey workbook; data room</t>
  </si>
  <si>
    <t xml:space="preserve">Sources and assumptions</t>
  </si>
  <si>
    <t xml:space="preserve">Research current at October 2026. Fees and rules change; confirm with DLD, RERA and your setup consultant.</t>
  </si>
  <si>
    <t xml:space="preserve">Used for</t>
  </si>
  <si>
    <t xml:space="preserve">Source</t>
  </si>
  <si>
    <t xml:space="preserve">Link</t>
  </si>
  <si>
    <t xml:space="preserve">Broker licence steps, trade licence, RERA registration, office rule, fees</t>
  </si>
  <si>
    <t xml:space="preserve">Oliva: Dubai real estate brokerage regulations 2026</t>
  </si>
  <si>
    <t xml:space="preserve">https://joinoliva.com/en/learn/blog/dubai-real-estate-brokerage-regulations-2026</t>
  </si>
  <si>
    <t xml:space="preserve">Broker card fees, DREI CTREB course, RERA registration, minimum capital AED 100,000</t>
  </si>
  <si>
    <t xml:space="preserve">Takween Advisory: How to get a RERA licence in Dubai</t>
  </si>
  <si>
    <t xml:space="preserve">https://takweenadvisory.ae/en/blog/how-to-get-rera-license-dubai</t>
  </si>
  <si>
    <t xml:space="preserve">Cost ranges for opening a brokerage</t>
  </si>
  <si>
    <t xml:space="preserve">Shuraa: Cost of opening a real estate brokerage in Dubai</t>
  </si>
  <si>
    <t xml:space="preserve">https://www.shuraa.com/blog/2019/07/what-is-the-cost-of-opening-a-real-estate-brokerage-in-dubai.html</t>
  </si>
  <si>
    <t xml:space="preserve">Broker obligations and code of ethics</t>
  </si>
  <si>
    <t xml:space="preserve">Afridi &amp; Angell: Responsibilities and Code of Ethics for Real Estate Brokers</t>
  </si>
  <si>
    <t xml:space="preserve">https://afridi-angell.com/wp-content/uploads/2026/01/inBrief-Responsibilities-and-Code-of-Ethics-for-Real-Estate-Brokers-in-Dubai.pdf</t>
  </si>
  <si>
    <t xml:space="preserve">AML duties for brokers, goAML, AED 55,000 cash reporting</t>
  </si>
  <si>
    <t xml:space="preserve">AML UAE: AML regulations for DNFBPs in UAE</t>
  </si>
  <si>
    <t xml:space="preserve">https://amluae.com/aml-regulations-for-dnfbps-in-uae/</t>
  </si>
  <si>
    <t xml:space="preserve">DLD Digital Sale service</t>
  </si>
  <si>
    <t xml:space="preserve">Dubai Land Department: Buy or sell property via DubaiNow</t>
  </si>
  <si>
    <t xml:space="preserve">https://dubailand.gov.ae/en/eservices/buy-or-sell-property-via-dubai-now/</t>
  </si>
  <si>
    <t xml:space="preserve">ADREC digital journey</t>
  </si>
  <si>
    <t xml:space="preserve">WAM: ADREC launches Digital Buy &amp; Sell Journey</t>
  </si>
  <si>
    <t xml:space="preserve">https://www.wam.ae/en/article/bm6n7kr-adrec-launches-digital-buy-sell-journey</t>
  </si>
  <si>
    <t xml:space="preserve">Estimates marked "Estimate" in the Roadmap and Roles sheets</t>
  </si>
  <si>
    <t xml:space="preserve">Planning assumptions by the author; replace with quotes and real salaries</t>
  </si>
</sst>
</file>

<file path=xl/styles.xml><?xml version="1.0" encoding="utf-8"?>
<styleSheet xmlns="http://schemas.openxmlformats.org/spreadsheetml/2006/main">
  <numFmts count="9">
    <numFmt numFmtId="164" formatCode="General"/>
    <numFmt numFmtId="165" formatCode="dd\-mmm\-yyyy"/>
    <numFmt numFmtId="166" formatCode="General"/>
    <numFmt numFmtId="167" formatCode="0%"/>
    <numFmt numFmtId="168" formatCode="#,##0;\(#,##0\);\-"/>
    <numFmt numFmtId="169" formatCode="dd\-mmm\-yy"/>
    <numFmt numFmtId="170" formatCode="dd\-mmm"/>
    <numFmt numFmtId="171" formatCode=";;;"/>
    <numFmt numFmtId="172" formatCode="#,##0"/>
  </numFmts>
  <fonts count="20">
    <font>
      <sz val="11"/>
      <color theme="1"/>
      <name val="Calibri"/>
      <family val="2"/>
      <charset val="1"/>
    </font>
    <font>
      <sz val="10"/>
      <name val="Arial"/>
      <family val="0"/>
    </font>
    <font>
      <sz val="10"/>
      <name val="Arial"/>
      <family val="0"/>
    </font>
    <font>
      <sz val="10"/>
      <name val="Arial"/>
      <family val="0"/>
    </font>
    <font>
      <b val="true"/>
      <sz val="16"/>
      <color rgb="FF0F4C5C"/>
      <name val="Arial"/>
      <family val="0"/>
      <charset val="1"/>
    </font>
    <font>
      <i val="true"/>
      <sz val="10"/>
      <color rgb="FF56656F"/>
      <name val="Arial"/>
      <family val="0"/>
      <charset val="1"/>
    </font>
    <font>
      <b val="true"/>
      <sz val="12"/>
      <color rgb="FF0F4C5C"/>
      <name val="Arial"/>
      <family val="0"/>
      <charset val="1"/>
    </font>
    <font>
      <b val="true"/>
      <sz val="10"/>
      <color rgb="FF000000"/>
      <name val="Arial"/>
      <family val="0"/>
      <charset val="1"/>
    </font>
    <font>
      <b val="true"/>
      <sz val="10"/>
      <color rgb="FF0000FF"/>
      <name val="Arial"/>
      <family val="0"/>
      <charset val="1"/>
    </font>
    <font>
      <i val="true"/>
      <sz val="9"/>
      <color rgb="FF56656F"/>
      <name val="Arial"/>
      <family val="0"/>
      <charset val="1"/>
    </font>
    <font>
      <sz val="10"/>
      <color rgb="FF000000"/>
      <name val="Arial"/>
      <family val="0"/>
      <charset val="1"/>
    </font>
    <font>
      <b val="true"/>
      <sz val="10"/>
      <color rgb="FFFFFFFF"/>
      <name val="Arial"/>
      <family val="0"/>
      <charset val="1"/>
    </font>
    <font>
      <b val="true"/>
      <sz val="10"/>
      <color rgb="FF2C5F9E"/>
      <name val="Arial"/>
      <family val="0"/>
      <charset val="1"/>
    </font>
    <font>
      <b val="true"/>
      <sz val="10"/>
      <color rgb="FF0C6E5F"/>
      <name val="Arial"/>
      <family val="0"/>
      <charset val="1"/>
    </font>
    <font>
      <b val="true"/>
      <sz val="10"/>
      <color rgb="FFB7791F"/>
      <name val="Arial"/>
      <family val="0"/>
      <charset val="1"/>
    </font>
    <font>
      <b val="true"/>
      <sz val="10"/>
      <color rgb="FF7A3F73"/>
      <name val="Arial"/>
      <family val="0"/>
      <charset val="1"/>
    </font>
    <font>
      <sz val="10"/>
      <color rgb="FF0000FF"/>
      <name val="Arial"/>
      <family val="0"/>
      <charset val="1"/>
    </font>
    <font>
      <b val="true"/>
      <sz val="9"/>
      <color rgb="FF56656F"/>
      <name val="Arial"/>
      <family val="0"/>
      <charset val="1"/>
    </font>
    <font>
      <sz val="9"/>
      <color rgb="FF56656F"/>
      <name val="Arial"/>
      <family val="0"/>
      <charset val="1"/>
    </font>
    <font>
      <u val="single"/>
      <sz val="10"/>
      <color rgb="FF0563C1"/>
      <name val="Arial"/>
      <family val="0"/>
      <charset val="1"/>
    </font>
  </fonts>
  <fills count="10">
    <fill>
      <patternFill patternType="none"/>
    </fill>
    <fill>
      <patternFill patternType="gray125"/>
    </fill>
    <fill>
      <patternFill patternType="solid">
        <fgColor rgb="FFFFFF00"/>
        <bgColor rgb="FFFFFF00"/>
      </patternFill>
    </fill>
    <fill>
      <patternFill patternType="solid">
        <fgColor rgb="FF0F4C5C"/>
        <bgColor rgb="FF0C6E5F"/>
      </patternFill>
    </fill>
    <fill>
      <patternFill patternType="solid">
        <fgColor rgb="FFD6E4F5"/>
        <bgColor rgb="FFD9EFE6"/>
      </patternFill>
    </fill>
    <fill>
      <patternFill patternType="solid">
        <fgColor rgb="FFD9EFE6"/>
        <bgColor rgb="FFE6EEF0"/>
      </patternFill>
    </fill>
    <fill>
      <patternFill patternType="solid">
        <fgColor rgb="FFF8E7C4"/>
        <bgColor rgb="FFFFE9A8"/>
      </patternFill>
    </fill>
    <fill>
      <patternFill patternType="solid">
        <fgColor rgb="FFEBD8EA"/>
        <bgColor rgb="FFD6E4F5"/>
      </patternFill>
    </fill>
    <fill>
      <patternFill patternType="solid">
        <fgColor rgb="FFFFF9C4"/>
        <bgColor rgb="FFF8E7C4"/>
      </patternFill>
    </fill>
    <fill>
      <patternFill patternType="solid">
        <fgColor rgb="FFE6EEF0"/>
        <bgColor rgb="FFD9EFE6"/>
      </patternFill>
    </fill>
  </fills>
  <borders count="2">
    <border diagonalUp="false" diagonalDown="false">
      <left/>
      <right/>
      <top/>
      <bottom/>
      <diagonal/>
    </border>
    <border diagonalUp="false" diagonalDown="false">
      <left style="thin">
        <color rgb="FFC9D3D8"/>
      </left>
      <right style="thin">
        <color rgb="FFC9D3D8"/>
      </right>
      <top style="thin">
        <color rgb="FFC9D3D8"/>
      </top>
      <bottom style="thin">
        <color rgb="FFC9D3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left" vertical="bottom" textRotation="0" wrapText="fals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6" fontId="10" fillId="0" borderId="1" xfId="0" applyFont="true" applyBorder="true" applyAlignment="true" applyProtection="false">
      <alignment horizontal="center" vertical="top" textRotation="0" wrapText="true" indent="0" shrinkToFit="false"/>
      <protection locked="true" hidden="false"/>
    </xf>
    <xf numFmtId="167" fontId="10" fillId="0" borderId="1" xfId="0" applyFont="true" applyBorder="true" applyAlignment="true" applyProtection="false">
      <alignment horizontal="center" vertical="top" textRotation="0" wrapText="true" indent="0" shrinkToFit="false"/>
      <protection locked="true" hidden="false"/>
    </xf>
    <xf numFmtId="168" fontId="10" fillId="0" borderId="1" xfId="0" applyFont="true" applyBorder="true" applyAlignment="true" applyProtection="false">
      <alignment horizontal="center" vertical="top" textRotation="0" wrapText="tru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4" fillId="6" borderId="1" xfId="0" applyFont="true" applyBorder="true" applyAlignment="true" applyProtection="false">
      <alignment horizontal="left" vertical="top" textRotation="0" wrapText="true" indent="0" shrinkToFit="false"/>
      <protection locked="true" hidden="false"/>
    </xf>
    <xf numFmtId="164" fontId="15" fillId="7"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6" fillId="0" borderId="1" xfId="0" applyFont="true" applyBorder="true" applyAlignment="true" applyProtection="false">
      <alignment horizontal="center" vertical="top" textRotation="0" wrapText="true" indent="0" shrinkToFit="false"/>
      <protection locked="true" hidden="false"/>
    </xf>
    <xf numFmtId="169" fontId="10" fillId="0" borderId="1" xfId="0" applyFont="true" applyBorder="true" applyAlignment="true" applyProtection="false">
      <alignment horizontal="center" vertical="top" textRotation="0" wrapText="true" indent="0" shrinkToFit="false"/>
      <protection locked="true" hidden="false"/>
    </xf>
    <xf numFmtId="168" fontId="16" fillId="0"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center" vertical="top" textRotation="0" wrapText="true" indent="0" shrinkToFit="false"/>
      <protection locked="true" hidden="false"/>
    </xf>
    <xf numFmtId="164" fontId="10" fillId="9"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64" fontId="15" fillId="7" borderId="1" xfId="0" applyFont="true" applyBorder="true" applyAlignment="true" applyProtection="false">
      <alignment horizontal="general" vertical="top" textRotation="0" wrapText="tru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70" fontId="11" fillId="3" borderId="0" xfId="0" applyFont="true" applyBorder="false" applyAlignment="true" applyProtection="false">
      <alignment horizontal="center" vertical="center" textRotation="9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2" fontId="16" fillId="0" borderId="1" xfId="0" applyFont="true" applyBorder="true" applyAlignment="true" applyProtection="false">
      <alignment horizontal="general" vertical="top" textRotation="0" wrapText="true" indent="0" shrinkToFit="false"/>
      <protection locked="true" hidden="false"/>
    </xf>
    <xf numFmtId="164" fontId="16" fillId="2" borderId="1" xfId="0" applyFont="true" applyBorder="true" applyAlignment="true" applyProtection="false">
      <alignment horizontal="general" vertical="top" textRotation="0" wrapText="true" indent="0" shrinkToFit="false"/>
      <protection locked="true" hidden="false"/>
    </xf>
    <xf numFmtId="167" fontId="16" fillId="0" borderId="1" xfId="0" applyFont="true" applyBorder="true" applyAlignment="true" applyProtection="false">
      <alignment horizontal="general" vertical="top" textRotation="0" wrapText="true" indent="0" shrinkToFit="false"/>
      <protection locked="true" hidden="false"/>
    </xf>
    <xf numFmtId="167" fontId="16" fillId="2"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8" fontId="16" fillId="2"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ill>
        <patternFill patternType="solid">
          <fgColor rgb="FF0F4C5C"/>
          <bgColor rgb="FF000000"/>
        </patternFill>
      </fill>
    </dxf>
    <dxf>
      <fill>
        <patternFill patternType="solid">
          <fgColor rgb="FFE6EEF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6E4F5"/>
          <bgColor rgb="FF000000"/>
        </patternFill>
      </fill>
    </dxf>
    <dxf>
      <fill>
        <patternFill patternType="solid">
          <fgColor rgb="FFD9EFE6"/>
          <bgColor rgb="FF000000"/>
        </patternFill>
      </fill>
    </dxf>
    <dxf>
      <fill>
        <patternFill patternType="solid">
          <fgColor rgb="FFEBD8EA"/>
          <bgColor rgb="FF000000"/>
        </patternFill>
      </fill>
    </dxf>
    <dxf>
      <fill>
        <patternFill patternType="solid">
          <fgColor rgb="FFF8E7C4"/>
          <bgColor rgb="FF000000"/>
        </patternFill>
      </fill>
    </dxf>
    <dxf>
      <fill>
        <patternFill patternType="solid">
          <fgColor rgb="FF0C6E5F"/>
          <bgColor rgb="FF000000"/>
        </patternFill>
      </fill>
    </dxf>
    <dxf>
      <fill>
        <patternFill patternType="solid">
          <fgColor rgb="FF2C5F9E"/>
          <bgColor rgb="FF000000"/>
        </patternFill>
      </fill>
    </dxf>
    <dxf>
      <fill>
        <patternFill patternType="solid">
          <fgColor rgb="FF7A3F73"/>
          <bgColor rgb="FF000000"/>
        </patternFill>
      </fill>
    </dxf>
    <dxf>
      <fill>
        <patternFill patternType="solid">
          <fgColor rgb="FFB7791F"/>
          <bgColor rgb="FF000000"/>
        </patternFill>
      </fill>
    </dxf>
    <dxf>
      <fill>
        <patternFill patternType="solid">
          <fgColor rgb="FF0000FF"/>
          <bgColor rgb="FF000000"/>
        </patternFill>
      </fill>
    </dxf>
    <dxf>
      <fill>
        <patternFill patternType="solid">
          <fgColor rgb="FFFFF9C4"/>
          <bgColor rgb="FF000000"/>
        </patternFill>
      </fill>
    </dxf>
    <dxf>
      <fill>
        <patternFill>
          <bgColor rgb="FFC6EFCE"/>
        </patternFill>
      </fill>
    </dxf>
    <dxf>
      <fill>
        <patternFill>
          <bgColor rgb="FFFFE9A8"/>
        </patternFill>
      </fill>
    </dxf>
    <dxf>
      <fill>
        <patternFill>
          <bgColor rgb="FFF8C9C4"/>
        </patternFill>
      </fill>
    </dxf>
    <dxf>
      <fill>
        <patternFill>
          <bgColor rgb="FF2C5F9E"/>
        </patternFill>
      </fill>
    </dxf>
    <dxf>
      <fill>
        <patternFill>
          <bgColor rgb="FF0C6E5F"/>
        </patternFill>
      </fill>
    </dxf>
    <dxf>
      <fill>
        <patternFill>
          <bgColor rgb="FFB7791F"/>
        </patternFill>
      </fill>
    </dxf>
    <dxf>
      <fill>
        <patternFill>
          <bgColor rgb="FF7A3F7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7791F"/>
      <rgbColor rgb="FF800080"/>
      <rgbColor rgb="FF0C6E5F"/>
      <rgbColor rgb="FFEBD8EA"/>
      <rgbColor rgb="FF808080"/>
      <rgbColor rgb="FF9999FF"/>
      <rgbColor rgb="FF7A3F73"/>
      <rgbColor rgb="FFFFF9C4"/>
      <rgbColor rgb="FFD9EFE6"/>
      <rgbColor rgb="FF660066"/>
      <rgbColor rgb="FFFF8080"/>
      <rgbColor rgb="FF0563C1"/>
      <rgbColor rgb="FFC9D3D8"/>
      <rgbColor rgb="FF000080"/>
      <rgbColor rgb="FFFF00FF"/>
      <rgbColor rgb="FFFFFF00"/>
      <rgbColor rgb="FF00FFFF"/>
      <rgbColor rgb="FF800080"/>
      <rgbColor rgb="FF800000"/>
      <rgbColor rgb="FF008080"/>
      <rgbColor rgb="FF0000FF"/>
      <rgbColor rgb="FF00CCFF"/>
      <rgbColor rgb="FFE6EEF0"/>
      <rgbColor rgb="FFC6EFCE"/>
      <rgbColor rgb="FFFFE9A8"/>
      <rgbColor rgb="FFD6E4F5"/>
      <rgbColor rgb="FFF8E7C4"/>
      <rgbColor rgb="FFCC99FF"/>
      <rgbColor rgb="FFF8C9C4"/>
      <rgbColor rgb="FF2C5F9E"/>
      <rgbColor rgb="FF33CCCC"/>
      <rgbColor rgb="FF99CC00"/>
      <rgbColor rgb="FFFFCC00"/>
      <rgbColor rgb="FFFF9900"/>
      <rgbColor rgb="FFFF6600"/>
      <rgbColor rgb="FF56656F"/>
      <rgbColor rgb="FF969696"/>
      <rgbColor rgb="FF0F4C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hyperlink" Target="https://joinoliva.com/en/learn/blog/dubai-real-estate-brokerage-regulations-2026" TargetMode="External"/><Relationship Id="rId2" Type="http://schemas.openxmlformats.org/officeDocument/2006/relationships/hyperlink" Target="https://takweenadvisory.ae/en/blog/how-to-get-rera-license-dubai" TargetMode="External"/><Relationship Id="rId3" Type="http://schemas.openxmlformats.org/officeDocument/2006/relationships/hyperlink" Target="https://www.shuraa.com/blog/2019/07/what-is-the-cost-of-opening-a-real-estate-brokerage-in-dubai.html" TargetMode="External"/><Relationship Id="rId4" Type="http://schemas.openxmlformats.org/officeDocument/2006/relationships/hyperlink" Target="https://afridi-angell.com/wp-content/uploads/2026/01/inBrief-Responsibilities-and-Code-of-Ethics-for-Real-Estate-Brokers-in-Dubai.pdf" TargetMode="External"/><Relationship Id="rId5" Type="http://schemas.openxmlformats.org/officeDocument/2006/relationships/hyperlink" Target="https://amluae.com/aml-regulations-for-dnfbps-in-uae/" TargetMode="External"/><Relationship Id="rId6" Type="http://schemas.openxmlformats.org/officeDocument/2006/relationships/hyperlink" Target="https://dubailand.gov.ae/en/eservices/buy-or-sell-property-via-dubai-now/" TargetMode="External"/><Relationship Id="rId7" Type="http://schemas.openxmlformats.org/officeDocument/2006/relationships/hyperlink" Target="https://www.wam.ae/en/article/bm6n7kr-adrec-launches-digital-buy-sell-journey"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4C5C"/>
    <pageSetUpPr fitToPage="false"/>
  </sheetPr>
  <dimension ref="A1:I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50"/>
    <col collapsed="false" customWidth="true" hidden="false" outlineLevel="0" max="5" min="4" style="0" width="10"/>
    <col collapsed="false" customWidth="true" hidden="false" outlineLevel="0" max="8" min="6" style="0" width="9"/>
    <col collapsed="false" customWidth="true" hidden="false" outlineLevel="0" max="9" min="9" style="0" width="14"/>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5" customFormat="false" ht="15" hidden="false" customHeight="false" outlineLevel="0" collapsed="false">
      <c r="B5" s="4" t="s">
        <v>3</v>
      </c>
      <c r="C5" s="5" t="n">
        <v>46307</v>
      </c>
      <c r="D5" s="6" t="s">
        <v>4</v>
      </c>
    </row>
    <row r="6" customFormat="false" ht="15" hidden="false" customHeight="false" outlineLevel="0" collapsed="false">
      <c r="B6" s="4" t="s">
        <v>5</v>
      </c>
      <c r="C6" s="7" t="n">
        <f aca="false">INDEX(Roadmap!$L$5:$L$59,MATCH("2.14",Roadmap!$A$5:$A$59,0))</f>
        <v>46363</v>
      </c>
      <c r="D6" s="6" t="s">
        <v>6</v>
      </c>
    </row>
    <row r="7" customFormat="false" ht="15" hidden="false" customHeight="false" outlineLevel="0" collapsed="false">
      <c r="B7" s="4" t="s">
        <v>7</v>
      </c>
      <c r="C7" s="8" t="n">
        <f aca="false">INDEX(Roadmap!$I$5:$I$59,MATCH("2.14",Roadmap!$A$5:$A$59,0))</f>
        <v>9</v>
      </c>
    </row>
    <row r="9" customFormat="false" ht="15" hidden="false" customHeight="false" outlineLevel="0" collapsed="false">
      <c r="B9" s="3" t="s">
        <v>8</v>
      </c>
    </row>
    <row r="10" customFormat="false" ht="30" hidden="false" customHeight="true" outlineLevel="0" collapsed="false">
      <c r="B10" s="9" t="s">
        <v>9</v>
      </c>
      <c r="C10" s="9" t="s">
        <v>10</v>
      </c>
      <c r="D10" s="9" t="s">
        <v>11</v>
      </c>
      <c r="E10" s="9" t="s">
        <v>12</v>
      </c>
      <c r="F10" s="9" t="s">
        <v>13</v>
      </c>
      <c r="G10" s="9" t="s">
        <v>14</v>
      </c>
      <c r="H10" s="9" t="s">
        <v>15</v>
      </c>
      <c r="I10" s="9" t="s">
        <v>16</v>
      </c>
    </row>
    <row r="11" customFormat="false" ht="15" hidden="false" customHeight="false" outlineLevel="0" collapsed="false">
      <c r="B11" s="10" t="s">
        <v>17</v>
      </c>
      <c r="C11" s="11" t="s">
        <v>18</v>
      </c>
      <c r="D11" s="12" t="n">
        <f aca="false">_xlfn.MINIFS(Roadmap!$I$5:$I$59,Roadmap!$B$5:$B$59,B11)</f>
        <v>1</v>
      </c>
      <c r="E11" s="12" t="n">
        <f aca="false">_xlfn.MAXIFS(Roadmap!$K$5:$K$59,Roadmap!$B$5:$B$59,B11)</f>
        <v>6</v>
      </c>
      <c r="F11" s="12" t="n">
        <f aca="false">COUNTIF(Roadmap!$B$5:$B$59,B11)</f>
        <v>13</v>
      </c>
      <c r="G11" s="12" t="n">
        <f aca="false">COUNTIFS(Roadmap!$B$5:$B$59,B11,Roadmap!$Q$5:$Q$59,"Done")</f>
        <v>0</v>
      </c>
      <c r="H11" s="13" t="n">
        <f aca="false">IFERROR(G11/F11,0)</f>
        <v>0</v>
      </c>
      <c r="I11" s="14" t="n">
        <f aca="false">SUMIFS(Roadmap!$P$5:$P$59,Roadmap!$B$5:$B$59,B11)</f>
        <v>25500</v>
      </c>
    </row>
    <row r="12" customFormat="false" ht="15" hidden="false" customHeight="false" outlineLevel="0" collapsed="false">
      <c r="B12" s="15" t="s">
        <v>19</v>
      </c>
      <c r="C12" s="11" t="s">
        <v>20</v>
      </c>
      <c r="D12" s="12" t="n">
        <f aca="false">_xlfn.MINIFS(Roadmap!$I$5:$I$59,Roadmap!$B$5:$B$59,B12)</f>
        <v>2</v>
      </c>
      <c r="E12" s="12" t="n">
        <f aca="false">_xlfn.MAXIFS(Roadmap!$K$5:$K$59,Roadmap!$B$5:$B$59,B12)</f>
        <v>8</v>
      </c>
      <c r="F12" s="12" t="n">
        <f aca="false">COUNTIF(Roadmap!$B$5:$B$59,B12)</f>
        <v>17</v>
      </c>
      <c r="G12" s="12" t="n">
        <f aca="false">COUNTIFS(Roadmap!$B$5:$B$59,B12,Roadmap!$Q$5:$Q$59,"Done")</f>
        <v>0</v>
      </c>
      <c r="H12" s="13" t="n">
        <f aca="false">IFERROR(G12/F12,0)</f>
        <v>0</v>
      </c>
      <c r="I12" s="14" t="n">
        <f aca="false">SUMIFS(Roadmap!$P$5:$P$59,Roadmap!$B$5:$B$59,B12)</f>
        <v>93000</v>
      </c>
    </row>
    <row r="13" customFormat="false" ht="15" hidden="false" customHeight="false" outlineLevel="0" collapsed="false">
      <c r="B13" s="16" t="s">
        <v>21</v>
      </c>
      <c r="C13" s="11" t="s">
        <v>22</v>
      </c>
      <c r="D13" s="12" t="n">
        <f aca="false">_xlfn.MINIFS(Roadmap!$I$5:$I$59,Roadmap!$B$5:$B$59,B13)</f>
        <v>4</v>
      </c>
      <c r="E13" s="12" t="n">
        <f aca="false">_xlfn.MAXIFS(Roadmap!$K$5:$K$59,Roadmap!$B$5:$B$59,B13)</f>
        <v>13</v>
      </c>
      <c r="F13" s="12" t="n">
        <f aca="false">COUNTIF(Roadmap!$B$5:$B$59,B13)</f>
        <v>17</v>
      </c>
      <c r="G13" s="12" t="n">
        <f aca="false">COUNTIFS(Roadmap!$B$5:$B$59,B13,Roadmap!$Q$5:$Q$59,"Done")</f>
        <v>0</v>
      </c>
      <c r="H13" s="13" t="n">
        <f aca="false">IFERROR(G13/F13,0)</f>
        <v>0</v>
      </c>
      <c r="I13" s="14" t="n">
        <f aca="false">SUMIFS(Roadmap!$P$5:$P$59,Roadmap!$B$5:$B$59,B13)</f>
        <v>49000</v>
      </c>
    </row>
    <row r="14" customFormat="false" ht="15" hidden="false" customHeight="false" outlineLevel="0" collapsed="false">
      <c r="B14" s="17" t="s">
        <v>23</v>
      </c>
      <c r="C14" s="11" t="s">
        <v>24</v>
      </c>
      <c r="D14" s="12" t="n">
        <f aca="false">_xlfn.MINIFS(Roadmap!$I$5:$I$59,Roadmap!$B$5:$B$59,B14)</f>
        <v>7</v>
      </c>
      <c r="E14" s="12" t="n">
        <f aca="false">_xlfn.MAXIFS(Roadmap!$K$5:$K$59,Roadmap!$B$5:$B$59,B14)</f>
        <v>20</v>
      </c>
      <c r="F14" s="12" t="n">
        <f aca="false">COUNTIF(Roadmap!$B$5:$B$59,B14)</f>
        <v>8</v>
      </c>
      <c r="G14" s="12" t="n">
        <f aca="false">COUNTIFS(Roadmap!$B$5:$B$59,B14,Roadmap!$Q$5:$Q$59,"Done")</f>
        <v>0</v>
      </c>
      <c r="H14" s="13" t="n">
        <f aca="false">IFERROR(G14/F14,0)</f>
        <v>0</v>
      </c>
      <c r="I14" s="14" t="n">
        <f aca="false">SUMIFS(Roadmap!$P$5:$P$59,Roadmap!$B$5:$B$59,B14)</f>
        <v>8000</v>
      </c>
    </row>
    <row r="15" customFormat="false" ht="15" hidden="false" customHeight="false" outlineLevel="0" collapsed="false">
      <c r="B15" s="18" t="s">
        <v>25</v>
      </c>
      <c r="C15" s="19"/>
      <c r="D15" s="19"/>
      <c r="E15" s="19"/>
      <c r="F15" s="20" t="n">
        <f aca="false">SUM(F11:F14)</f>
        <v>55</v>
      </c>
      <c r="G15" s="20" t="n">
        <f aca="false">SUM(G11:G14)</f>
        <v>0</v>
      </c>
      <c r="H15" s="21" t="n">
        <f aca="false">IFERROR(G15/F15,0)</f>
        <v>0</v>
      </c>
      <c r="I15" s="22" t="n">
        <f aca="false">SUM(I11:I14)</f>
        <v>175500</v>
      </c>
    </row>
    <row r="17" customFormat="false" ht="15" hidden="false" customHeight="false" outlineLevel="0" collapsed="false">
      <c r="B17" s="3" t="s">
        <v>26</v>
      </c>
    </row>
    <row r="18" customFormat="false" ht="30" hidden="false" customHeight="true" outlineLevel="0" collapsed="false">
      <c r="B18" s="9" t="s">
        <v>27</v>
      </c>
      <c r="C18" s="9" t="s">
        <v>28</v>
      </c>
      <c r="D18" s="9" t="s">
        <v>29</v>
      </c>
      <c r="E18" s="9" t="s">
        <v>30</v>
      </c>
      <c r="F18" s="9" t="s">
        <v>31</v>
      </c>
      <c r="G18" s="9" t="s">
        <v>32</v>
      </c>
    </row>
    <row r="19" customFormat="false" ht="15" hidden="false" customHeight="false" outlineLevel="0" collapsed="false">
      <c r="B19" s="23" t="s">
        <v>33</v>
      </c>
      <c r="C19" s="24" t="s">
        <v>34</v>
      </c>
      <c r="D19" s="25" t="n">
        <f aca="false">COUNTIF(Gates!$A$5:$A$26,B19)</f>
        <v>6</v>
      </c>
      <c r="E19" s="25" t="n">
        <f aca="false">COUNTIFS(Gates!$A$5:$A$26,$B19,Gates!$G$5:$G$26,"Met")</f>
        <v>0</v>
      </c>
      <c r="F19" s="25" t="n">
        <f aca="false">COUNTIFS(Gates!$A$5:$A$26,$B19,Gates!$G$5:$G$26,"Not met")</f>
        <v>0</v>
      </c>
      <c r="G19" s="25" t="n">
        <f aca="false">COUNTIFS(Gates!$A$5:$A$26,$B19,Gates!$G$5:$G$26,"Pending")</f>
        <v>6</v>
      </c>
    </row>
    <row r="20" customFormat="false" ht="15" hidden="false" customHeight="false" outlineLevel="0" collapsed="false">
      <c r="B20" s="23" t="s">
        <v>35</v>
      </c>
      <c r="C20" s="24" t="s">
        <v>36</v>
      </c>
      <c r="D20" s="25" t="n">
        <f aca="false">COUNTIF(Gates!$A$5:$A$26,B20)</f>
        <v>7</v>
      </c>
      <c r="E20" s="25" t="n">
        <f aca="false">COUNTIFS(Gates!$A$5:$A$26,$B20,Gates!$G$5:$G$26,"Met")</f>
        <v>0</v>
      </c>
      <c r="F20" s="25" t="n">
        <f aca="false">COUNTIFS(Gates!$A$5:$A$26,$B20,Gates!$G$5:$G$26,"Not met")</f>
        <v>0</v>
      </c>
      <c r="G20" s="25" t="n">
        <f aca="false">COUNTIFS(Gates!$A$5:$A$26,$B20,Gates!$G$5:$G$26,"Pending")</f>
        <v>7</v>
      </c>
    </row>
    <row r="21" customFormat="false" ht="15" hidden="false" customHeight="false" outlineLevel="0" collapsed="false">
      <c r="B21" s="23" t="s">
        <v>37</v>
      </c>
      <c r="C21" s="24" t="s">
        <v>38</v>
      </c>
      <c r="D21" s="25" t="n">
        <f aca="false">COUNTIF(Gates!$A$5:$A$26,B21)</f>
        <v>6</v>
      </c>
      <c r="E21" s="25" t="n">
        <f aca="false">COUNTIFS(Gates!$A$5:$A$26,$B21,Gates!$G$5:$G$26,"Met")</f>
        <v>0</v>
      </c>
      <c r="F21" s="25" t="n">
        <f aca="false">COUNTIFS(Gates!$A$5:$A$26,$B21,Gates!$G$5:$G$26,"Not met")</f>
        <v>0</v>
      </c>
      <c r="G21" s="25" t="n">
        <f aca="false">COUNTIFS(Gates!$A$5:$A$26,$B21,Gates!$G$5:$G$26,"Pending")</f>
        <v>6</v>
      </c>
    </row>
    <row r="22" customFormat="false" ht="15" hidden="false" customHeight="false" outlineLevel="0" collapsed="false">
      <c r="B22" s="23" t="s">
        <v>39</v>
      </c>
      <c r="C22" s="24" t="s">
        <v>40</v>
      </c>
      <c r="D22" s="25" t="n">
        <f aca="false">COUNTIF(Gates!$A$5:$A$26,B22)</f>
        <v>3</v>
      </c>
      <c r="E22" s="25" t="n">
        <f aca="false">COUNTIFS(Gates!$A$5:$A$26,$B22,Gates!$G$5:$G$26,"Met")</f>
        <v>0</v>
      </c>
      <c r="F22" s="25" t="n">
        <f aca="false">COUNTIFS(Gates!$A$5:$A$26,$B22,Gates!$G$5:$G$26,"Not met")</f>
        <v>0</v>
      </c>
      <c r="G22" s="25" t="n">
        <f aca="false">COUNTIFS(Gates!$A$5:$A$26,$B22,Gates!$G$5:$G$26,"Pending")</f>
        <v>3</v>
      </c>
    </row>
    <row r="24" customFormat="false" ht="15" hidden="false" customHeight="false" outlineLevel="0" collapsed="false">
      <c r="B24" s="3" t="s">
        <v>41</v>
      </c>
    </row>
    <row r="25" customFormat="false" ht="27.75" hidden="false" customHeight="true" outlineLevel="0" collapsed="false">
      <c r="B25" s="26" t="s">
        <v>42</v>
      </c>
      <c r="C25" s="26"/>
      <c r="D25" s="26"/>
      <c r="E25" s="26"/>
      <c r="F25" s="26"/>
      <c r="G25" s="26"/>
      <c r="H25" s="26"/>
      <c r="I25" s="26"/>
    </row>
    <row r="26" customFormat="false" ht="27.75" hidden="false" customHeight="true" outlineLevel="0" collapsed="false">
      <c r="B26" s="26" t="s">
        <v>43</v>
      </c>
      <c r="C26" s="26"/>
      <c r="D26" s="26"/>
      <c r="E26" s="26"/>
      <c r="F26" s="26"/>
      <c r="G26" s="26"/>
      <c r="H26" s="26"/>
      <c r="I26" s="26"/>
    </row>
    <row r="27" customFormat="false" ht="27.75" hidden="false" customHeight="true" outlineLevel="0" collapsed="false">
      <c r="B27" s="26" t="s">
        <v>44</v>
      </c>
      <c r="C27" s="26"/>
      <c r="D27" s="26"/>
      <c r="E27" s="26"/>
      <c r="F27" s="26"/>
      <c r="G27" s="26"/>
      <c r="H27" s="26"/>
      <c r="I27" s="26"/>
    </row>
    <row r="28" customFormat="false" ht="27.75" hidden="false" customHeight="true" outlineLevel="0" collapsed="false">
      <c r="B28" s="26" t="s">
        <v>45</v>
      </c>
      <c r="C28" s="26"/>
      <c r="D28" s="26"/>
      <c r="E28" s="26"/>
      <c r="F28" s="26"/>
      <c r="G28" s="26"/>
      <c r="H28" s="26"/>
      <c r="I28" s="26"/>
    </row>
    <row r="29" customFormat="false" ht="27.75" hidden="false" customHeight="true" outlineLevel="0" collapsed="false">
      <c r="B29" s="26" t="s">
        <v>46</v>
      </c>
      <c r="C29" s="26"/>
      <c r="D29" s="26"/>
      <c r="E29" s="26"/>
      <c r="F29" s="26"/>
      <c r="G29" s="26"/>
      <c r="H29" s="26"/>
      <c r="I29" s="26"/>
    </row>
    <row r="30" customFormat="false" ht="27.75" hidden="false" customHeight="true" outlineLevel="0" collapsed="false">
      <c r="B30" s="26" t="s">
        <v>47</v>
      </c>
      <c r="C30" s="26"/>
      <c r="D30" s="26"/>
      <c r="E30" s="26"/>
      <c r="F30" s="26"/>
      <c r="G30" s="26"/>
      <c r="H30" s="26"/>
      <c r="I30" s="26"/>
    </row>
    <row r="31" customFormat="false" ht="27.75" hidden="false" customHeight="true" outlineLevel="0" collapsed="false">
      <c r="B31" s="26" t="s">
        <v>48</v>
      </c>
      <c r="C31" s="26"/>
      <c r="D31" s="26"/>
      <c r="E31" s="26"/>
      <c r="F31" s="26"/>
      <c r="G31" s="26"/>
      <c r="H31" s="26"/>
      <c r="I31" s="26"/>
    </row>
    <row r="32" customFormat="false" ht="27.75" hidden="false" customHeight="true" outlineLevel="0" collapsed="false">
      <c r="B32" s="26" t="s">
        <v>49</v>
      </c>
      <c r="C32" s="26"/>
      <c r="D32" s="26"/>
      <c r="E32" s="26"/>
      <c r="F32" s="26"/>
      <c r="G32" s="26"/>
      <c r="H32" s="26"/>
      <c r="I32" s="26"/>
    </row>
  </sheetData>
  <mergeCells count="8">
    <mergeCell ref="B25:I25"/>
    <mergeCell ref="B26:I26"/>
    <mergeCell ref="B27:I27"/>
    <mergeCell ref="B28:I28"/>
    <mergeCell ref="B29:I29"/>
    <mergeCell ref="B30:I30"/>
    <mergeCell ref="B31:I31"/>
    <mergeCell ref="B32:I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C6E5F"/>
    <pageSetUpPr fitToPage="false"/>
  </sheetPr>
  <dimension ref="A1:R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4"/>
    <col collapsed="false" customWidth="true" hidden="false" outlineLevel="0" max="4" min="4" style="0" width="38"/>
    <col collapsed="false" customWidth="true" hidden="false" outlineLevel="0" max="5" min="5" style="0" width="10"/>
    <col collapsed="false" customWidth="true" hidden="false" outlineLevel="0" max="6" min="6" style="0" width="70"/>
    <col collapsed="false" customWidth="true" hidden="false" outlineLevel="0" max="7" min="7" style="0" width="26"/>
    <col collapsed="false" customWidth="true" hidden="false" outlineLevel="0" max="8" min="8" style="0" width="22"/>
    <col collapsed="false" customWidth="true" hidden="false" outlineLevel="0" max="11" min="9" style="0" width="8"/>
    <col collapsed="false" customWidth="true" hidden="false" outlineLevel="0" max="13" min="12" style="0" width="11"/>
    <col collapsed="false" customWidth="true" hidden="false" outlineLevel="0" max="14" min="14" style="0" width="14"/>
    <col collapsed="false" customWidth="true" hidden="false" outlineLevel="0" max="15" min="15" style="0" width="28"/>
    <col collapsed="false" customWidth="true" hidden="false" outlineLevel="0" max="16" min="16" style="0" width="14"/>
    <col collapsed="false" customWidth="true" hidden="false" outlineLevel="0" max="17" min="17" style="0" width="12"/>
    <col collapsed="false" customWidth="true" hidden="false" outlineLevel="0" max="18" min="18" style="0" width="28"/>
  </cols>
  <sheetData>
    <row r="1" customFormat="false" ht="19.7" hidden="false" customHeight="false" outlineLevel="0" collapsed="false">
      <c r="A1" s="1" t="s">
        <v>50</v>
      </c>
    </row>
    <row r="2" customFormat="false" ht="15" hidden="false" customHeight="false" outlineLevel="0" collapsed="false">
      <c r="A2" s="2" t="s">
        <v>51</v>
      </c>
    </row>
    <row r="4" customFormat="false" ht="30" hidden="false" customHeight="true" outlineLevel="0" collapsed="false">
      <c r="A4" s="9" t="s">
        <v>52</v>
      </c>
      <c r="B4" s="9" t="s">
        <v>9</v>
      </c>
      <c r="C4" s="9" t="s">
        <v>53</v>
      </c>
      <c r="D4" s="9" t="s">
        <v>54</v>
      </c>
      <c r="E4" s="9" t="s">
        <v>55</v>
      </c>
      <c r="F4" s="9" t="s">
        <v>56</v>
      </c>
      <c r="G4" s="9" t="s">
        <v>57</v>
      </c>
      <c r="H4" s="9" t="s">
        <v>58</v>
      </c>
      <c r="I4" s="9" t="s">
        <v>11</v>
      </c>
      <c r="J4" s="9" t="s">
        <v>59</v>
      </c>
      <c r="K4" s="9" t="s">
        <v>12</v>
      </c>
      <c r="L4" s="9" t="s">
        <v>60</v>
      </c>
      <c r="M4" s="9" t="s">
        <v>61</v>
      </c>
      <c r="N4" s="9" t="s">
        <v>62</v>
      </c>
      <c r="O4" s="9" t="s">
        <v>63</v>
      </c>
      <c r="P4" s="9" t="s">
        <v>64</v>
      </c>
      <c r="Q4" s="9" t="s">
        <v>65</v>
      </c>
      <c r="R4" s="9" t="s">
        <v>66</v>
      </c>
    </row>
    <row r="5" customFormat="false" ht="35.05" hidden="false" customHeight="false" outlineLevel="0" collapsed="false">
      <c r="A5" s="12" t="s">
        <v>67</v>
      </c>
      <c r="B5" s="27" t="s">
        <v>17</v>
      </c>
      <c r="C5" s="28" t="s">
        <v>68</v>
      </c>
      <c r="D5" s="28" t="s">
        <v>69</v>
      </c>
      <c r="E5" s="29" t="s">
        <v>70</v>
      </c>
      <c r="F5" s="28" t="s">
        <v>71</v>
      </c>
      <c r="G5" s="28" t="s">
        <v>72</v>
      </c>
      <c r="H5" s="28" t="s">
        <v>73</v>
      </c>
      <c r="I5" s="30" t="n">
        <v>1</v>
      </c>
      <c r="J5" s="30" t="n">
        <v>1</v>
      </c>
      <c r="K5" s="12" t="n">
        <f aca="false">I5+J5-1</f>
        <v>1</v>
      </c>
      <c r="L5" s="31" t="n">
        <f aca="false">Overview!$C$5+(I5-1)*7</f>
        <v>46307</v>
      </c>
      <c r="M5" s="31" t="n">
        <f aca="false">L5+(J5-1)*7+4</f>
        <v>46311</v>
      </c>
      <c r="N5" s="28" t="s">
        <v>74</v>
      </c>
      <c r="O5" s="28" t="s">
        <v>75</v>
      </c>
      <c r="P5" s="32" t="n">
        <v>0</v>
      </c>
      <c r="Q5" s="33" t="s">
        <v>76</v>
      </c>
      <c r="R5" s="28"/>
    </row>
    <row r="6" customFormat="false" ht="23.85" hidden="false" customHeight="false" outlineLevel="0" collapsed="false">
      <c r="A6" s="12" t="s">
        <v>77</v>
      </c>
      <c r="B6" s="27" t="s">
        <v>17</v>
      </c>
      <c r="C6" s="28" t="s">
        <v>78</v>
      </c>
      <c r="D6" s="28" t="s">
        <v>79</v>
      </c>
      <c r="E6" s="29" t="s">
        <v>70</v>
      </c>
      <c r="F6" s="28" t="s">
        <v>80</v>
      </c>
      <c r="G6" s="28" t="s">
        <v>72</v>
      </c>
      <c r="H6" s="28" t="s">
        <v>81</v>
      </c>
      <c r="I6" s="30" t="n">
        <v>1</v>
      </c>
      <c r="J6" s="30" t="n">
        <v>2</v>
      </c>
      <c r="K6" s="12" t="n">
        <f aca="false">I6+J6-1</f>
        <v>2</v>
      </c>
      <c r="L6" s="31" t="n">
        <f aca="false">Overview!$C$5+(I6-1)*7</f>
        <v>46307</v>
      </c>
      <c r="M6" s="31" t="n">
        <f aca="false">L6+(J6-1)*7+4</f>
        <v>46318</v>
      </c>
      <c r="N6" s="28" t="s">
        <v>74</v>
      </c>
      <c r="O6" s="28" t="s">
        <v>82</v>
      </c>
      <c r="P6" s="32" t="n">
        <v>4000</v>
      </c>
      <c r="Q6" s="33" t="s">
        <v>76</v>
      </c>
      <c r="R6" s="28" t="s">
        <v>83</v>
      </c>
    </row>
    <row r="7" customFormat="false" ht="23.85" hidden="false" customHeight="false" outlineLevel="0" collapsed="false">
      <c r="A7" s="12" t="s">
        <v>84</v>
      </c>
      <c r="B7" s="27" t="s">
        <v>17</v>
      </c>
      <c r="C7" s="28" t="s">
        <v>85</v>
      </c>
      <c r="D7" s="28" t="s">
        <v>86</v>
      </c>
      <c r="E7" s="29" t="s">
        <v>70</v>
      </c>
      <c r="F7" s="28" t="s">
        <v>87</v>
      </c>
      <c r="G7" s="28" t="s">
        <v>88</v>
      </c>
      <c r="H7" s="28" t="s">
        <v>89</v>
      </c>
      <c r="I7" s="30" t="n">
        <v>1</v>
      </c>
      <c r="J7" s="30" t="n">
        <v>1</v>
      </c>
      <c r="K7" s="12" t="n">
        <f aca="false">I7+J7-1</f>
        <v>1</v>
      </c>
      <c r="L7" s="31" t="n">
        <f aca="false">Overview!$C$5+(I7-1)*7</f>
        <v>46307</v>
      </c>
      <c r="M7" s="31" t="n">
        <f aca="false">L7+(J7-1)*7+4</f>
        <v>46311</v>
      </c>
      <c r="N7" s="28" t="s">
        <v>67</v>
      </c>
      <c r="O7" s="28" t="s">
        <v>90</v>
      </c>
      <c r="P7" s="32" t="n">
        <v>0</v>
      </c>
      <c r="Q7" s="33" t="s">
        <v>76</v>
      </c>
      <c r="R7" s="28"/>
    </row>
    <row r="8" customFormat="false" ht="35.05" hidden="false" customHeight="false" outlineLevel="0" collapsed="false">
      <c r="A8" s="12" t="s">
        <v>91</v>
      </c>
      <c r="B8" s="27" t="s">
        <v>17</v>
      </c>
      <c r="C8" s="28" t="s">
        <v>85</v>
      </c>
      <c r="D8" s="28" t="s">
        <v>92</v>
      </c>
      <c r="E8" s="29" t="s">
        <v>70</v>
      </c>
      <c r="F8" s="28" t="s">
        <v>93</v>
      </c>
      <c r="G8" s="28" t="s">
        <v>88</v>
      </c>
      <c r="H8" s="28" t="s">
        <v>72</v>
      </c>
      <c r="I8" s="30" t="n">
        <v>2</v>
      </c>
      <c r="J8" s="30" t="n">
        <v>3</v>
      </c>
      <c r="K8" s="12" t="n">
        <f aca="false">I8+J8-1</f>
        <v>4</v>
      </c>
      <c r="L8" s="31" t="n">
        <f aca="false">Overview!$C$5+(I8-1)*7</f>
        <v>46314</v>
      </c>
      <c r="M8" s="31" t="n">
        <f aca="false">L8+(J8-1)*7+4</f>
        <v>46332</v>
      </c>
      <c r="N8" s="28" t="s">
        <v>84</v>
      </c>
      <c r="O8" s="28" t="s">
        <v>94</v>
      </c>
      <c r="P8" s="32" t="n">
        <v>5000</v>
      </c>
      <c r="Q8" s="33" t="s">
        <v>76</v>
      </c>
      <c r="R8" s="28" t="s">
        <v>95</v>
      </c>
    </row>
    <row r="9" customFormat="false" ht="23.85" hidden="false" customHeight="false" outlineLevel="0" collapsed="false">
      <c r="A9" s="12" t="s">
        <v>96</v>
      </c>
      <c r="B9" s="27" t="s">
        <v>17</v>
      </c>
      <c r="C9" s="28" t="s">
        <v>85</v>
      </c>
      <c r="D9" s="28" t="s">
        <v>97</v>
      </c>
      <c r="E9" s="29" t="s">
        <v>70</v>
      </c>
      <c r="F9" s="28" t="s">
        <v>98</v>
      </c>
      <c r="G9" s="28" t="s">
        <v>72</v>
      </c>
      <c r="H9" s="28" t="s">
        <v>88</v>
      </c>
      <c r="I9" s="30" t="n">
        <v>2</v>
      </c>
      <c r="J9" s="30" t="n">
        <v>3</v>
      </c>
      <c r="K9" s="12" t="n">
        <f aca="false">I9+J9-1</f>
        <v>4</v>
      </c>
      <c r="L9" s="31" t="n">
        <f aca="false">Overview!$C$5+(I9-1)*7</f>
        <v>46314</v>
      </c>
      <c r="M9" s="31" t="n">
        <f aca="false">L9+(J9-1)*7+4</f>
        <v>46332</v>
      </c>
      <c r="N9" s="28" t="s">
        <v>84</v>
      </c>
      <c r="O9" s="28" t="s">
        <v>99</v>
      </c>
      <c r="P9" s="32" t="n">
        <v>1500</v>
      </c>
      <c r="Q9" s="33" t="s">
        <v>76</v>
      </c>
      <c r="R9" s="28" t="s">
        <v>100</v>
      </c>
    </row>
    <row r="10" customFormat="false" ht="23.85" hidden="false" customHeight="false" outlineLevel="0" collapsed="false">
      <c r="A10" s="12" t="s">
        <v>101</v>
      </c>
      <c r="B10" s="27" t="s">
        <v>17</v>
      </c>
      <c r="C10" s="28" t="s">
        <v>85</v>
      </c>
      <c r="D10" s="28" t="s">
        <v>102</v>
      </c>
      <c r="E10" s="29" t="s">
        <v>70</v>
      </c>
      <c r="F10" s="28" t="s">
        <v>103</v>
      </c>
      <c r="G10" s="28" t="s">
        <v>104</v>
      </c>
      <c r="H10" s="28" t="s">
        <v>72</v>
      </c>
      <c r="I10" s="30" t="n">
        <v>2</v>
      </c>
      <c r="J10" s="30" t="n">
        <v>3</v>
      </c>
      <c r="K10" s="12" t="n">
        <f aca="false">I10+J10-1</f>
        <v>4</v>
      </c>
      <c r="L10" s="31" t="n">
        <f aca="false">Overview!$C$5+(I10-1)*7</f>
        <v>46314</v>
      </c>
      <c r="M10" s="31" t="n">
        <f aca="false">L10+(J10-1)*7+4</f>
        <v>46332</v>
      </c>
      <c r="N10" s="28" t="s">
        <v>67</v>
      </c>
      <c r="O10" s="28" t="s">
        <v>105</v>
      </c>
      <c r="P10" s="32" t="n">
        <v>0</v>
      </c>
      <c r="Q10" s="33" t="s">
        <v>76</v>
      </c>
      <c r="R10" s="28"/>
    </row>
    <row r="11" customFormat="false" ht="23.85" hidden="false" customHeight="false" outlineLevel="0" collapsed="false">
      <c r="A11" s="12" t="s">
        <v>106</v>
      </c>
      <c r="B11" s="27" t="s">
        <v>17</v>
      </c>
      <c r="C11" s="28" t="s">
        <v>85</v>
      </c>
      <c r="D11" s="28" t="s">
        <v>107</v>
      </c>
      <c r="E11" s="29" t="s">
        <v>70</v>
      </c>
      <c r="F11" s="28" t="s">
        <v>108</v>
      </c>
      <c r="G11" s="28" t="s">
        <v>88</v>
      </c>
      <c r="H11" s="28" t="s">
        <v>109</v>
      </c>
      <c r="I11" s="30" t="n">
        <v>2</v>
      </c>
      <c r="J11" s="30" t="n">
        <v>2</v>
      </c>
      <c r="K11" s="12" t="n">
        <f aca="false">I11+J11-1</f>
        <v>3</v>
      </c>
      <c r="L11" s="31" t="n">
        <f aca="false">Overview!$C$5+(I11-1)*7</f>
        <v>46314</v>
      </c>
      <c r="M11" s="31" t="n">
        <f aca="false">L11+(J11-1)*7+4</f>
        <v>46325</v>
      </c>
      <c r="N11" s="28" t="s">
        <v>74</v>
      </c>
      <c r="O11" s="28" t="s">
        <v>110</v>
      </c>
      <c r="P11" s="32" t="n">
        <v>0</v>
      </c>
      <c r="Q11" s="33" t="s">
        <v>76</v>
      </c>
      <c r="R11" s="28"/>
    </row>
    <row r="12" customFormat="false" ht="35.05" hidden="false" customHeight="false" outlineLevel="0" collapsed="false">
      <c r="A12" s="12" t="s">
        <v>111</v>
      </c>
      <c r="B12" s="27" t="s">
        <v>17</v>
      </c>
      <c r="C12" s="28" t="s">
        <v>78</v>
      </c>
      <c r="D12" s="28" t="s">
        <v>112</v>
      </c>
      <c r="E12" s="29" t="s">
        <v>70</v>
      </c>
      <c r="F12" s="28" t="s">
        <v>113</v>
      </c>
      <c r="G12" s="28" t="s">
        <v>81</v>
      </c>
      <c r="H12" s="28" t="s">
        <v>72</v>
      </c>
      <c r="I12" s="30" t="n">
        <v>2</v>
      </c>
      <c r="J12" s="30" t="n">
        <v>3</v>
      </c>
      <c r="K12" s="12" t="n">
        <f aca="false">I12+J12-1</f>
        <v>4</v>
      </c>
      <c r="L12" s="31" t="n">
        <f aca="false">Overview!$C$5+(I12-1)*7</f>
        <v>46314</v>
      </c>
      <c r="M12" s="31" t="n">
        <f aca="false">L12+(J12-1)*7+4</f>
        <v>46332</v>
      </c>
      <c r="N12" s="28" t="s">
        <v>74</v>
      </c>
      <c r="O12" s="28" t="s">
        <v>114</v>
      </c>
      <c r="P12" s="32" t="n">
        <v>15000</v>
      </c>
      <c r="Q12" s="33" t="s">
        <v>76</v>
      </c>
      <c r="R12" s="28" t="s">
        <v>115</v>
      </c>
    </row>
    <row r="13" customFormat="false" ht="23.85" hidden="false" customHeight="false" outlineLevel="0" collapsed="false">
      <c r="A13" s="12" t="s">
        <v>116</v>
      </c>
      <c r="B13" s="27" t="s">
        <v>17</v>
      </c>
      <c r="C13" s="28" t="s">
        <v>85</v>
      </c>
      <c r="D13" s="28" t="s">
        <v>117</v>
      </c>
      <c r="E13" s="29" t="s">
        <v>70</v>
      </c>
      <c r="F13" s="28" t="s">
        <v>118</v>
      </c>
      <c r="G13" s="28" t="s">
        <v>89</v>
      </c>
      <c r="H13" s="28" t="s">
        <v>72</v>
      </c>
      <c r="I13" s="30" t="n">
        <v>5</v>
      </c>
      <c r="J13" s="30" t="n">
        <v>1</v>
      </c>
      <c r="K13" s="12" t="n">
        <f aca="false">I13+J13-1</f>
        <v>5</v>
      </c>
      <c r="L13" s="31" t="n">
        <f aca="false">Overview!$C$5+(I13-1)*7</f>
        <v>46335</v>
      </c>
      <c r="M13" s="31" t="n">
        <f aca="false">L13+(J13-1)*7+4</f>
        <v>46339</v>
      </c>
      <c r="N13" s="28" t="s">
        <v>119</v>
      </c>
      <c r="O13" s="28" t="s">
        <v>120</v>
      </c>
      <c r="P13" s="32" t="n">
        <v>0</v>
      </c>
      <c r="Q13" s="33" t="s">
        <v>76</v>
      </c>
      <c r="R13" s="28"/>
    </row>
    <row r="14" customFormat="false" ht="23.85" hidden="false" customHeight="false" outlineLevel="0" collapsed="false">
      <c r="A14" s="12" t="s">
        <v>121</v>
      </c>
      <c r="B14" s="27" t="s">
        <v>17</v>
      </c>
      <c r="C14" s="28" t="s">
        <v>122</v>
      </c>
      <c r="D14" s="28" t="s">
        <v>123</v>
      </c>
      <c r="E14" s="29" t="s">
        <v>70</v>
      </c>
      <c r="F14" s="28" t="s">
        <v>124</v>
      </c>
      <c r="G14" s="28" t="s">
        <v>72</v>
      </c>
      <c r="H14" s="28" t="s">
        <v>88</v>
      </c>
      <c r="I14" s="30" t="n">
        <v>3</v>
      </c>
      <c r="J14" s="30" t="n">
        <v>3</v>
      </c>
      <c r="K14" s="12" t="n">
        <f aca="false">I14+J14-1</f>
        <v>5</v>
      </c>
      <c r="L14" s="31" t="n">
        <f aca="false">Overview!$C$5+(I14-1)*7</f>
        <v>46321</v>
      </c>
      <c r="M14" s="31" t="n">
        <f aca="false">L14+(J14-1)*7+4</f>
        <v>46339</v>
      </c>
      <c r="N14" s="28" t="s">
        <v>67</v>
      </c>
      <c r="O14" s="28" t="s">
        <v>125</v>
      </c>
      <c r="P14" s="32" t="n">
        <v>0</v>
      </c>
      <c r="Q14" s="33" t="s">
        <v>76</v>
      </c>
      <c r="R14" s="28" t="s">
        <v>126</v>
      </c>
    </row>
    <row r="15" customFormat="false" ht="23.85" hidden="false" customHeight="false" outlineLevel="0" collapsed="false">
      <c r="A15" s="12" t="s">
        <v>127</v>
      </c>
      <c r="B15" s="27" t="s">
        <v>17</v>
      </c>
      <c r="C15" s="28" t="s">
        <v>128</v>
      </c>
      <c r="D15" s="28" t="s">
        <v>129</v>
      </c>
      <c r="E15" s="29" t="s">
        <v>70</v>
      </c>
      <c r="F15" s="28" t="s">
        <v>130</v>
      </c>
      <c r="G15" s="28" t="s">
        <v>104</v>
      </c>
      <c r="H15" s="28" t="s">
        <v>72</v>
      </c>
      <c r="I15" s="30" t="n">
        <v>3</v>
      </c>
      <c r="J15" s="30" t="n">
        <v>4</v>
      </c>
      <c r="K15" s="12" t="n">
        <f aca="false">I15+J15-1</f>
        <v>6</v>
      </c>
      <c r="L15" s="31" t="n">
        <f aca="false">Overview!$C$5+(I15-1)*7</f>
        <v>46321</v>
      </c>
      <c r="M15" s="31" t="n">
        <f aca="false">L15+(J15-1)*7+4</f>
        <v>46346</v>
      </c>
      <c r="N15" s="28" t="s">
        <v>101</v>
      </c>
      <c r="O15" s="28" t="s">
        <v>131</v>
      </c>
      <c r="P15" s="32" t="n">
        <v>0</v>
      </c>
      <c r="Q15" s="33" t="s">
        <v>76</v>
      </c>
      <c r="R15" s="28"/>
    </row>
    <row r="16" customFormat="false" ht="15" hidden="false" customHeight="false" outlineLevel="0" collapsed="false">
      <c r="A16" s="12" t="s">
        <v>132</v>
      </c>
      <c r="B16" s="27" t="s">
        <v>17</v>
      </c>
      <c r="C16" s="28" t="s">
        <v>122</v>
      </c>
      <c r="D16" s="28" t="s">
        <v>133</v>
      </c>
      <c r="E16" s="29" t="s">
        <v>70</v>
      </c>
      <c r="F16" s="28" t="s">
        <v>134</v>
      </c>
      <c r="G16" s="28" t="s">
        <v>72</v>
      </c>
      <c r="H16" s="28" t="s">
        <v>74</v>
      </c>
      <c r="I16" s="30" t="n">
        <v>6</v>
      </c>
      <c r="J16" s="30" t="n">
        <v>1</v>
      </c>
      <c r="K16" s="12" t="n">
        <f aca="false">I16+J16-1</f>
        <v>6</v>
      </c>
      <c r="L16" s="31" t="n">
        <f aca="false">Overview!$C$5+(I16-1)*7</f>
        <v>46342</v>
      </c>
      <c r="M16" s="31" t="n">
        <f aca="false">L16+(J16-1)*7+4</f>
        <v>46346</v>
      </c>
      <c r="N16" s="28" t="s">
        <v>121</v>
      </c>
      <c r="O16" s="28" t="s">
        <v>135</v>
      </c>
      <c r="P16" s="32" t="n">
        <v>0</v>
      </c>
      <c r="Q16" s="33" t="s">
        <v>76</v>
      </c>
      <c r="R16" s="28"/>
    </row>
    <row r="17" customFormat="false" ht="23.85" hidden="false" customHeight="false" outlineLevel="0" collapsed="false">
      <c r="A17" s="34" t="s">
        <v>136</v>
      </c>
      <c r="B17" s="27" t="s">
        <v>17</v>
      </c>
      <c r="C17" s="28" t="s">
        <v>27</v>
      </c>
      <c r="D17" s="35" t="s">
        <v>137</v>
      </c>
      <c r="E17" s="34" t="s">
        <v>27</v>
      </c>
      <c r="F17" s="28" t="s">
        <v>138</v>
      </c>
      <c r="G17" s="28" t="s">
        <v>72</v>
      </c>
      <c r="H17" s="28" t="s">
        <v>139</v>
      </c>
      <c r="I17" s="30" t="n">
        <v>6</v>
      </c>
      <c r="J17" s="30" t="n">
        <v>1</v>
      </c>
      <c r="K17" s="12" t="n">
        <f aca="false">I17+J17-1</f>
        <v>6</v>
      </c>
      <c r="L17" s="31" t="n">
        <f aca="false">Overview!$C$5+(I17-1)*7</f>
        <v>46342</v>
      </c>
      <c r="M17" s="31" t="n">
        <f aca="false">L17+(J17-1)*7+4</f>
        <v>46346</v>
      </c>
      <c r="N17" s="28" t="s">
        <v>140</v>
      </c>
      <c r="O17" s="28" t="s">
        <v>141</v>
      </c>
      <c r="P17" s="32" t="n">
        <v>0</v>
      </c>
      <c r="Q17" s="33" t="s">
        <v>76</v>
      </c>
      <c r="R17" s="28"/>
    </row>
    <row r="18" customFormat="false" ht="23.85" hidden="false" customHeight="false" outlineLevel="0" collapsed="false">
      <c r="A18" s="12" t="s">
        <v>142</v>
      </c>
      <c r="B18" s="36" t="s">
        <v>19</v>
      </c>
      <c r="C18" s="28" t="s">
        <v>143</v>
      </c>
      <c r="D18" s="28" t="s">
        <v>144</v>
      </c>
      <c r="E18" s="29" t="s">
        <v>70</v>
      </c>
      <c r="F18" s="28" t="s">
        <v>145</v>
      </c>
      <c r="G18" s="28" t="s">
        <v>72</v>
      </c>
      <c r="H18" s="28" t="s">
        <v>146</v>
      </c>
      <c r="I18" s="30" t="n">
        <v>2</v>
      </c>
      <c r="J18" s="30" t="n">
        <v>1</v>
      </c>
      <c r="K18" s="12" t="n">
        <f aca="false">I18+J18-1</f>
        <v>2</v>
      </c>
      <c r="L18" s="31" t="n">
        <f aca="false">Overview!$C$5+(I18-1)*7</f>
        <v>46314</v>
      </c>
      <c r="M18" s="31" t="n">
        <f aca="false">L18+(J18-1)*7+4</f>
        <v>46318</v>
      </c>
      <c r="N18" s="28" t="s">
        <v>74</v>
      </c>
      <c r="O18" s="28" t="s">
        <v>147</v>
      </c>
      <c r="P18" s="32" t="n">
        <v>5000</v>
      </c>
      <c r="Q18" s="33" t="s">
        <v>76</v>
      </c>
      <c r="R18" s="28" t="s">
        <v>148</v>
      </c>
    </row>
    <row r="19" customFormat="false" ht="23.85" hidden="false" customHeight="false" outlineLevel="0" collapsed="false">
      <c r="A19" s="12" t="s">
        <v>149</v>
      </c>
      <c r="B19" s="36" t="s">
        <v>19</v>
      </c>
      <c r="C19" s="28" t="s">
        <v>150</v>
      </c>
      <c r="D19" s="28" t="s">
        <v>151</v>
      </c>
      <c r="E19" s="29" t="s">
        <v>70</v>
      </c>
      <c r="F19" s="28" t="s">
        <v>152</v>
      </c>
      <c r="G19" s="28" t="s">
        <v>72</v>
      </c>
      <c r="H19" s="28" t="s">
        <v>139</v>
      </c>
      <c r="I19" s="30" t="n">
        <v>2</v>
      </c>
      <c r="J19" s="30" t="n">
        <v>3</v>
      </c>
      <c r="K19" s="12" t="n">
        <f aca="false">I19+J19-1</f>
        <v>4</v>
      </c>
      <c r="L19" s="31" t="n">
        <f aca="false">Overview!$C$5+(I19-1)*7</f>
        <v>46314</v>
      </c>
      <c r="M19" s="31" t="n">
        <f aca="false">L19+(J19-1)*7+4</f>
        <v>46332</v>
      </c>
      <c r="N19" s="28" t="s">
        <v>74</v>
      </c>
      <c r="O19" s="28" t="s">
        <v>153</v>
      </c>
      <c r="P19" s="32" t="n">
        <v>0</v>
      </c>
      <c r="Q19" s="33" t="s">
        <v>76</v>
      </c>
      <c r="R19" s="28" t="s">
        <v>154</v>
      </c>
    </row>
    <row r="20" customFormat="false" ht="23.85" hidden="false" customHeight="false" outlineLevel="0" collapsed="false">
      <c r="A20" s="12" t="s">
        <v>155</v>
      </c>
      <c r="B20" s="36" t="s">
        <v>19</v>
      </c>
      <c r="C20" s="28" t="s">
        <v>150</v>
      </c>
      <c r="D20" s="28" t="s">
        <v>156</v>
      </c>
      <c r="E20" s="29" t="s">
        <v>70</v>
      </c>
      <c r="F20" s="28" t="s">
        <v>157</v>
      </c>
      <c r="G20" s="28" t="s">
        <v>158</v>
      </c>
      <c r="H20" s="28" t="s">
        <v>72</v>
      </c>
      <c r="I20" s="30" t="n">
        <v>3</v>
      </c>
      <c r="J20" s="30" t="n">
        <v>2</v>
      </c>
      <c r="K20" s="12" t="n">
        <f aca="false">I20+J20-1</f>
        <v>4</v>
      </c>
      <c r="L20" s="31" t="n">
        <f aca="false">Overview!$C$5+(I20-1)*7</f>
        <v>46321</v>
      </c>
      <c r="M20" s="31" t="n">
        <f aca="false">L20+(J20-1)*7+4</f>
        <v>46332</v>
      </c>
      <c r="N20" s="28" t="s">
        <v>149</v>
      </c>
      <c r="O20" s="28" t="s">
        <v>159</v>
      </c>
      <c r="P20" s="32" t="n">
        <v>9000</v>
      </c>
      <c r="Q20" s="33" t="s">
        <v>76</v>
      </c>
      <c r="R20" s="28" t="s">
        <v>160</v>
      </c>
    </row>
    <row r="21" customFormat="false" ht="23.85" hidden="false" customHeight="false" outlineLevel="0" collapsed="false">
      <c r="A21" s="12" t="s">
        <v>161</v>
      </c>
      <c r="B21" s="36" t="s">
        <v>19</v>
      </c>
      <c r="C21" s="28" t="s">
        <v>143</v>
      </c>
      <c r="D21" s="28" t="s">
        <v>162</v>
      </c>
      <c r="E21" s="29" t="s">
        <v>70</v>
      </c>
      <c r="F21" s="28" t="s">
        <v>163</v>
      </c>
      <c r="G21" s="28" t="s">
        <v>146</v>
      </c>
      <c r="H21" s="28" t="s">
        <v>72</v>
      </c>
      <c r="I21" s="30" t="n">
        <v>3</v>
      </c>
      <c r="J21" s="30" t="n">
        <v>1</v>
      </c>
      <c r="K21" s="12" t="n">
        <f aca="false">I21+J21-1</f>
        <v>3</v>
      </c>
      <c r="L21" s="31" t="n">
        <f aca="false">Overview!$C$5+(I21-1)*7</f>
        <v>46321</v>
      </c>
      <c r="M21" s="31" t="n">
        <f aca="false">L21+(J21-1)*7+4</f>
        <v>46325</v>
      </c>
      <c r="N21" s="28" t="s">
        <v>142</v>
      </c>
      <c r="O21" s="28" t="s">
        <v>164</v>
      </c>
      <c r="P21" s="32" t="n">
        <v>0</v>
      </c>
      <c r="Q21" s="33" t="s">
        <v>76</v>
      </c>
      <c r="R21" s="28"/>
    </row>
    <row r="22" customFormat="false" ht="23.85" hidden="false" customHeight="false" outlineLevel="0" collapsed="false">
      <c r="A22" s="12" t="s">
        <v>165</v>
      </c>
      <c r="B22" s="36" t="s">
        <v>19</v>
      </c>
      <c r="C22" s="28" t="s">
        <v>143</v>
      </c>
      <c r="D22" s="28" t="s">
        <v>166</v>
      </c>
      <c r="E22" s="29" t="s">
        <v>70</v>
      </c>
      <c r="F22" s="28" t="s">
        <v>167</v>
      </c>
      <c r="G22" s="28" t="s">
        <v>72</v>
      </c>
      <c r="H22" s="28" t="s">
        <v>146</v>
      </c>
      <c r="I22" s="30" t="n">
        <v>3</v>
      </c>
      <c r="J22" s="30" t="n">
        <v>2</v>
      </c>
      <c r="K22" s="12" t="n">
        <f aca="false">I22+J22-1</f>
        <v>4</v>
      </c>
      <c r="L22" s="31" t="n">
        <f aca="false">Overview!$C$5+(I22-1)*7</f>
        <v>46321</v>
      </c>
      <c r="M22" s="31" t="n">
        <f aca="false">L22+(J22-1)*7+4</f>
        <v>46332</v>
      </c>
      <c r="N22" s="28" t="s">
        <v>142</v>
      </c>
      <c r="O22" s="28" t="s">
        <v>168</v>
      </c>
      <c r="P22" s="32" t="n">
        <v>25000</v>
      </c>
      <c r="Q22" s="33" t="s">
        <v>76</v>
      </c>
      <c r="R22" s="28" t="s">
        <v>169</v>
      </c>
    </row>
    <row r="23" customFormat="false" ht="15" hidden="false" customHeight="false" outlineLevel="0" collapsed="false">
      <c r="A23" s="12" t="s">
        <v>170</v>
      </c>
      <c r="B23" s="36" t="s">
        <v>19</v>
      </c>
      <c r="C23" s="28" t="s">
        <v>143</v>
      </c>
      <c r="D23" s="28" t="s">
        <v>171</v>
      </c>
      <c r="E23" s="29" t="s">
        <v>70</v>
      </c>
      <c r="F23" s="28" t="s">
        <v>172</v>
      </c>
      <c r="G23" s="28" t="s">
        <v>146</v>
      </c>
      <c r="H23" s="28" t="s">
        <v>72</v>
      </c>
      <c r="I23" s="30" t="n">
        <v>4</v>
      </c>
      <c r="J23" s="30" t="n">
        <v>2</v>
      </c>
      <c r="K23" s="12" t="n">
        <f aca="false">I23+J23-1</f>
        <v>5</v>
      </c>
      <c r="L23" s="31" t="n">
        <f aca="false">Overview!$C$5+(I23-1)*7</f>
        <v>46328</v>
      </c>
      <c r="M23" s="31" t="n">
        <f aca="false">L23+(J23-1)*7+4</f>
        <v>46339</v>
      </c>
      <c r="N23" s="28" t="s">
        <v>173</v>
      </c>
      <c r="O23" s="28" t="s">
        <v>174</v>
      </c>
      <c r="P23" s="32" t="n">
        <v>15000</v>
      </c>
      <c r="Q23" s="33" t="s">
        <v>76</v>
      </c>
      <c r="R23" s="28" t="s">
        <v>175</v>
      </c>
    </row>
    <row r="24" customFormat="false" ht="23.85" hidden="false" customHeight="false" outlineLevel="0" collapsed="false">
      <c r="A24" s="12" t="s">
        <v>176</v>
      </c>
      <c r="B24" s="36" t="s">
        <v>19</v>
      </c>
      <c r="C24" s="28" t="s">
        <v>177</v>
      </c>
      <c r="D24" s="28" t="s">
        <v>178</v>
      </c>
      <c r="E24" s="29" t="s">
        <v>70</v>
      </c>
      <c r="F24" s="28" t="s">
        <v>179</v>
      </c>
      <c r="G24" s="28" t="s">
        <v>180</v>
      </c>
      <c r="H24" s="28" t="s">
        <v>72</v>
      </c>
      <c r="I24" s="30" t="n">
        <v>5</v>
      </c>
      <c r="J24" s="30" t="n">
        <v>2</v>
      </c>
      <c r="K24" s="12" t="n">
        <f aca="false">I24+J24-1</f>
        <v>6</v>
      </c>
      <c r="L24" s="31" t="n">
        <f aca="false">Overview!$C$5+(I24-1)*7</f>
        <v>46335</v>
      </c>
      <c r="M24" s="31" t="n">
        <f aca="false">L24+(J24-1)*7+4</f>
        <v>46346</v>
      </c>
      <c r="N24" s="28" t="s">
        <v>170</v>
      </c>
      <c r="O24" s="28" t="s">
        <v>181</v>
      </c>
      <c r="P24" s="32" t="n">
        <v>0</v>
      </c>
      <c r="Q24" s="33" t="s">
        <v>76</v>
      </c>
      <c r="R24" s="28" t="s">
        <v>182</v>
      </c>
    </row>
    <row r="25" customFormat="false" ht="23.85" hidden="false" customHeight="false" outlineLevel="0" collapsed="false">
      <c r="A25" s="12" t="s">
        <v>183</v>
      </c>
      <c r="B25" s="36" t="s">
        <v>19</v>
      </c>
      <c r="C25" s="28" t="s">
        <v>184</v>
      </c>
      <c r="D25" s="28" t="s">
        <v>185</v>
      </c>
      <c r="E25" s="29" t="s">
        <v>70</v>
      </c>
      <c r="F25" s="28" t="s">
        <v>186</v>
      </c>
      <c r="G25" s="28" t="s">
        <v>158</v>
      </c>
      <c r="H25" s="28" t="s">
        <v>146</v>
      </c>
      <c r="I25" s="30" t="n">
        <v>5</v>
      </c>
      <c r="J25" s="30" t="n">
        <v>2</v>
      </c>
      <c r="K25" s="12" t="n">
        <f aca="false">I25+J25-1</f>
        <v>6</v>
      </c>
      <c r="L25" s="31" t="n">
        <f aca="false">Overview!$C$5+(I25-1)*7</f>
        <v>46335</v>
      </c>
      <c r="M25" s="31" t="n">
        <f aca="false">L25+(J25-1)*7+4</f>
        <v>46346</v>
      </c>
      <c r="N25" s="28" t="s">
        <v>187</v>
      </c>
      <c r="O25" s="28" t="s">
        <v>188</v>
      </c>
      <c r="P25" s="32" t="n">
        <v>8000</v>
      </c>
      <c r="Q25" s="33" t="s">
        <v>76</v>
      </c>
      <c r="R25" s="28" t="s">
        <v>189</v>
      </c>
    </row>
    <row r="26" customFormat="false" ht="23.85" hidden="false" customHeight="false" outlineLevel="0" collapsed="false">
      <c r="A26" s="12" t="s">
        <v>190</v>
      </c>
      <c r="B26" s="36" t="s">
        <v>19</v>
      </c>
      <c r="C26" s="28" t="s">
        <v>184</v>
      </c>
      <c r="D26" s="28" t="s">
        <v>191</v>
      </c>
      <c r="E26" s="29" t="s">
        <v>70</v>
      </c>
      <c r="F26" s="28" t="s">
        <v>192</v>
      </c>
      <c r="G26" s="28" t="s">
        <v>158</v>
      </c>
      <c r="H26" s="28" t="s">
        <v>146</v>
      </c>
      <c r="I26" s="30" t="n">
        <v>5</v>
      </c>
      <c r="J26" s="30" t="n">
        <v>2</v>
      </c>
      <c r="K26" s="12" t="n">
        <f aca="false">I26+J26-1</f>
        <v>6</v>
      </c>
      <c r="L26" s="31" t="n">
        <f aca="false">Overview!$C$5+(I26-1)*7</f>
        <v>46335</v>
      </c>
      <c r="M26" s="31" t="n">
        <f aca="false">L26+(J26-1)*7+4</f>
        <v>46346</v>
      </c>
      <c r="N26" s="28" t="s">
        <v>155</v>
      </c>
      <c r="O26" s="28" t="s">
        <v>193</v>
      </c>
      <c r="P26" s="32" t="n">
        <v>15000</v>
      </c>
      <c r="Q26" s="33" t="s">
        <v>76</v>
      </c>
      <c r="R26" s="28" t="s">
        <v>194</v>
      </c>
    </row>
    <row r="27" customFormat="false" ht="35.05" hidden="false" customHeight="false" outlineLevel="0" collapsed="false">
      <c r="A27" s="12" t="s">
        <v>195</v>
      </c>
      <c r="B27" s="36" t="s">
        <v>19</v>
      </c>
      <c r="C27" s="28" t="s">
        <v>196</v>
      </c>
      <c r="D27" s="28" t="s">
        <v>197</v>
      </c>
      <c r="E27" s="29" t="s">
        <v>70</v>
      </c>
      <c r="F27" s="28" t="s">
        <v>198</v>
      </c>
      <c r="G27" s="28" t="s">
        <v>199</v>
      </c>
      <c r="H27" s="28" t="s">
        <v>81</v>
      </c>
      <c r="I27" s="30" t="n">
        <v>5</v>
      </c>
      <c r="J27" s="30" t="n">
        <v>3</v>
      </c>
      <c r="K27" s="12" t="n">
        <f aca="false">I27+J27-1</f>
        <v>7</v>
      </c>
      <c r="L27" s="31" t="n">
        <f aca="false">Overview!$C$5+(I27-1)*7</f>
        <v>46335</v>
      </c>
      <c r="M27" s="31" t="n">
        <f aca="false">L27+(J27-1)*7+4</f>
        <v>46353</v>
      </c>
      <c r="N27" s="28" t="s">
        <v>170</v>
      </c>
      <c r="O27" s="28" t="s">
        <v>200</v>
      </c>
      <c r="P27" s="32" t="n">
        <v>5000</v>
      </c>
      <c r="Q27" s="33" t="s">
        <v>76</v>
      </c>
      <c r="R27" s="28" t="s">
        <v>201</v>
      </c>
    </row>
    <row r="28" customFormat="false" ht="23.85" hidden="false" customHeight="false" outlineLevel="0" collapsed="false">
      <c r="A28" s="12" t="s">
        <v>202</v>
      </c>
      <c r="B28" s="36" t="s">
        <v>19</v>
      </c>
      <c r="C28" s="28" t="s">
        <v>196</v>
      </c>
      <c r="D28" s="28" t="s">
        <v>203</v>
      </c>
      <c r="E28" s="29" t="s">
        <v>70</v>
      </c>
      <c r="F28" s="28" t="s">
        <v>204</v>
      </c>
      <c r="G28" s="28" t="s">
        <v>81</v>
      </c>
      <c r="H28" s="28" t="s">
        <v>199</v>
      </c>
      <c r="I28" s="30" t="n">
        <v>5</v>
      </c>
      <c r="J28" s="30" t="n">
        <v>3</v>
      </c>
      <c r="K28" s="12" t="n">
        <f aca="false">I28+J28-1</f>
        <v>7</v>
      </c>
      <c r="L28" s="31" t="n">
        <f aca="false">Overview!$C$5+(I28-1)*7</f>
        <v>46335</v>
      </c>
      <c r="M28" s="31" t="n">
        <f aca="false">L28+(J28-1)*7+4</f>
        <v>46353</v>
      </c>
      <c r="N28" s="28" t="s">
        <v>111</v>
      </c>
      <c r="O28" s="28" t="s">
        <v>205</v>
      </c>
      <c r="P28" s="32" t="n">
        <v>5000</v>
      </c>
      <c r="Q28" s="33" t="s">
        <v>76</v>
      </c>
      <c r="R28" s="28" t="s">
        <v>206</v>
      </c>
    </row>
    <row r="29" customFormat="false" ht="23.85" hidden="false" customHeight="false" outlineLevel="0" collapsed="false">
      <c r="A29" s="12" t="s">
        <v>207</v>
      </c>
      <c r="B29" s="36" t="s">
        <v>19</v>
      </c>
      <c r="C29" s="28" t="s">
        <v>196</v>
      </c>
      <c r="D29" s="28" t="s">
        <v>208</v>
      </c>
      <c r="E29" s="29" t="s">
        <v>70</v>
      </c>
      <c r="F29" s="28" t="s">
        <v>209</v>
      </c>
      <c r="G29" s="28" t="s">
        <v>180</v>
      </c>
      <c r="H29" s="28" t="s">
        <v>158</v>
      </c>
      <c r="I29" s="30" t="n">
        <v>6</v>
      </c>
      <c r="J29" s="30" t="n">
        <v>2</v>
      </c>
      <c r="K29" s="12" t="n">
        <f aca="false">I29+J29-1</f>
        <v>7</v>
      </c>
      <c r="L29" s="31" t="n">
        <f aca="false">Overview!$C$5+(I29-1)*7</f>
        <v>46342</v>
      </c>
      <c r="M29" s="31" t="n">
        <f aca="false">L29+(J29-1)*7+4</f>
        <v>46353</v>
      </c>
      <c r="N29" s="28" t="s">
        <v>170</v>
      </c>
      <c r="O29" s="28" t="s">
        <v>210</v>
      </c>
      <c r="P29" s="32" t="n">
        <v>6000</v>
      </c>
      <c r="Q29" s="33" t="s">
        <v>76</v>
      </c>
      <c r="R29" s="28" t="s">
        <v>206</v>
      </c>
    </row>
    <row r="30" customFormat="false" ht="23.85" hidden="false" customHeight="false" outlineLevel="0" collapsed="false">
      <c r="A30" s="12" t="s">
        <v>211</v>
      </c>
      <c r="B30" s="36" t="s">
        <v>19</v>
      </c>
      <c r="C30" s="28" t="s">
        <v>128</v>
      </c>
      <c r="D30" s="28" t="s">
        <v>212</v>
      </c>
      <c r="E30" s="29" t="s">
        <v>70</v>
      </c>
      <c r="F30" s="28" t="s">
        <v>213</v>
      </c>
      <c r="G30" s="28" t="s">
        <v>104</v>
      </c>
      <c r="H30" s="28" t="s">
        <v>158</v>
      </c>
      <c r="I30" s="30" t="n">
        <v>5</v>
      </c>
      <c r="J30" s="30" t="n">
        <v>4</v>
      </c>
      <c r="K30" s="12" t="n">
        <f aca="false">I30+J30-1</f>
        <v>8</v>
      </c>
      <c r="L30" s="31" t="n">
        <f aca="false">Overview!$C$5+(I30-1)*7</f>
        <v>46335</v>
      </c>
      <c r="M30" s="31" t="n">
        <f aca="false">L30+(J30-1)*7+4</f>
        <v>46360</v>
      </c>
      <c r="N30" s="28" t="s">
        <v>214</v>
      </c>
      <c r="O30" s="28" t="s">
        <v>215</v>
      </c>
      <c r="P30" s="32" t="n">
        <v>0</v>
      </c>
      <c r="Q30" s="33" t="s">
        <v>76</v>
      </c>
      <c r="R30" s="28" t="s">
        <v>216</v>
      </c>
    </row>
    <row r="31" customFormat="false" ht="23.85" hidden="false" customHeight="false" outlineLevel="0" collapsed="false">
      <c r="A31" s="12" t="s">
        <v>217</v>
      </c>
      <c r="B31" s="36" t="s">
        <v>19</v>
      </c>
      <c r="C31" s="28" t="s">
        <v>218</v>
      </c>
      <c r="D31" s="28" t="s">
        <v>219</v>
      </c>
      <c r="E31" s="29" t="s">
        <v>70</v>
      </c>
      <c r="F31" s="28" t="s">
        <v>220</v>
      </c>
      <c r="G31" s="28" t="s">
        <v>72</v>
      </c>
      <c r="H31" s="28" t="s">
        <v>81</v>
      </c>
      <c r="I31" s="30" t="n">
        <v>6</v>
      </c>
      <c r="J31" s="30" t="n">
        <v>2</v>
      </c>
      <c r="K31" s="12" t="n">
        <f aca="false">I31+J31-1</f>
        <v>7</v>
      </c>
      <c r="L31" s="31" t="n">
        <f aca="false">Overview!$C$5+(I31-1)*7</f>
        <v>46342</v>
      </c>
      <c r="M31" s="31" t="n">
        <f aca="false">L31+(J31-1)*7+4</f>
        <v>46353</v>
      </c>
      <c r="N31" s="28" t="s">
        <v>111</v>
      </c>
      <c r="O31" s="28" t="s">
        <v>221</v>
      </c>
      <c r="P31" s="32" t="n">
        <v>0</v>
      </c>
      <c r="Q31" s="33" t="s">
        <v>76</v>
      </c>
      <c r="R31" s="28"/>
    </row>
    <row r="32" customFormat="false" ht="23.85" hidden="false" customHeight="false" outlineLevel="0" collapsed="false">
      <c r="A32" s="12" t="s">
        <v>222</v>
      </c>
      <c r="B32" s="36" t="s">
        <v>19</v>
      </c>
      <c r="C32" s="28" t="s">
        <v>218</v>
      </c>
      <c r="D32" s="28" t="s">
        <v>223</v>
      </c>
      <c r="E32" s="29" t="s">
        <v>70</v>
      </c>
      <c r="F32" s="28" t="s">
        <v>224</v>
      </c>
      <c r="G32" s="28" t="s">
        <v>158</v>
      </c>
      <c r="H32" s="28" t="s">
        <v>73</v>
      </c>
      <c r="I32" s="30" t="n">
        <v>7</v>
      </c>
      <c r="J32" s="30" t="n">
        <v>1</v>
      </c>
      <c r="K32" s="12" t="n">
        <f aca="false">I32+J32-1</f>
        <v>7</v>
      </c>
      <c r="L32" s="31" t="n">
        <f aca="false">Overview!$C$5+(I32-1)*7</f>
        <v>46349</v>
      </c>
      <c r="M32" s="31" t="n">
        <f aca="false">L32+(J32-1)*7+4</f>
        <v>46353</v>
      </c>
      <c r="N32" s="28" t="s">
        <v>183</v>
      </c>
      <c r="O32" s="28" t="s">
        <v>225</v>
      </c>
      <c r="P32" s="32" t="n">
        <v>0</v>
      </c>
      <c r="Q32" s="33" t="s">
        <v>76</v>
      </c>
      <c r="R32" s="28"/>
    </row>
    <row r="33" customFormat="false" ht="23.85" hidden="false" customHeight="false" outlineLevel="0" collapsed="false">
      <c r="A33" s="34" t="s">
        <v>226</v>
      </c>
      <c r="B33" s="36" t="s">
        <v>19</v>
      </c>
      <c r="C33" s="28" t="s">
        <v>227</v>
      </c>
      <c r="D33" s="35" t="s">
        <v>228</v>
      </c>
      <c r="E33" s="34" t="s">
        <v>227</v>
      </c>
      <c r="F33" s="28" t="s">
        <v>229</v>
      </c>
      <c r="G33" s="28" t="s">
        <v>72</v>
      </c>
      <c r="H33" s="28" t="s">
        <v>158</v>
      </c>
      <c r="I33" s="30" t="n">
        <v>8</v>
      </c>
      <c r="J33" s="30" t="n">
        <v>1</v>
      </c>
      <c r="K33" s="12" t="n">
        <f aca="false">I33+J33-1</f>
        <v>8</v>
      </c>
      <c r="L33" s="31" t="n">
        <f aca="false">Overview!$C$5+(I33-1)*7</f>
        <v>46356</v>
      </c>
      <c r="M33" s="31" t="n">
        <f aca="false">L33+(J33-1)*7+4</f>
        <v>46360</v>
      </c>
      <c r="N33" s="28" t="s">
        <v>230</v>
      </c>
      <c r="O33" s="28" t="s">
        <v>231</v>
      </c>
      <c r="P33" s="32" t="n">
        <v>0</v>
      </c>
      <c r="Q33" s="33" t="s">
        <v>76</v>
      </c>
      <c r="R33" s="28"/>
    </row>
    <row r="34" customFormat="false" ht="23.85" hidden="false" customHeight="false" outlineLevel="0" collapsed="false">
      <c r="A34" s="12" t="s">
        <v>232</v>
      </c>
      <c r="B34" s="36" t="s">
        <v>19</v>
      </c>
      <c r="C34" s="28" t="s">
        <v>233</v>
      </c>
      <c r="D34" s="28" t="s">
        <v>234</v>
      </c>
      <c r="E34" s="29" t="s">
        <v>70</v>
      </c>
      <c r="F34" s="28" t="s">
        <v>235</v>
      </c>
      <c r="G34" s="28" t="s">
        <v>72</v>
      </c>
      <c r="H34" s="28" t="s">
        <v>81</v>
      </c>
      <c r="I34" s="30" t="n">
        <v>8</v>
      </c>
      <c r="J34" s="30" t="n">
        <v>1</v>
      </c>
      <c r="K34" s="12" t="n">
        <f aca="false">I34+J34-1</f>
        <v>8</v>
      </c>
      <c r="L34" s="31" t="n">
        <f aca="false">Overview!$C$5+(I34-1)*7</f>
        <v>46356</v>
      </c>
      <c r="M34" s="31" t="n">
        <f aca="false">L34+(J34-1)*7+4</f>
        <v>46360</v>
      </c>
      <c r="N34" s="28" t="s">
        <v>226</v>
      </c>
      <c r="O34" s="28" t="s">
        <v>236</v>
      </c>
      <c r="P34" s="32" t="n">
        <v>0</v>
      </c>
      <c r="Q34" s="33" t="s">
        <v>76</v>
      </c>
      <c r="R34" s="28" t="s">
        <v>237</v>
      </c>
    </row>
    <row r="35" customFormat="false" ht="23.85" hidden="false" customHeight="false" outlineLevel="0" collapsed="false">
      <c r="A35" s="12" t="s">
        <v>238</v>
      </c>
      <c r="B35" s="37" t="s">
        <v>21</v>
      </c>
      <c r="C35" s="28" t="s">
        <v>239</v>
      </c>
      <c r="D35" s="28" t="s">
        <v>240</v>
      </c>
      <c r="E35" s="29" t="s">
        <v>70</v>
      </c>
      <c r="F35" s="28" t="s">
        <v>241</v>
      </c>
      <c r="G35" s="28" t="s">
        <v>72</v>
      </c>
      <c r="H35" s="28" t="s">
        <v>88</v>
      </c>
      <c r="I35" s="30" t="n">
        <v>5</v>
      </c>
      <c r="J35" s="30" t="n">
        <v>1</v>
      </c>
      <c r="K35" s="12" t="n">
        <f aca="false">I35+J35-1</f>
        <v>5</v>
      </c>
      <c r="L35" s="31" t="n">
        <f aca="false">Overview!$C$5+(I35-1)*7</f>
        <v>46335</v>
      </c>
      <c r="M35" s="31" t="n">
        <f aca="false">L35+(J35-1)*7+4</f>
        <v>46339</v>
      </c>
      <c r="N35" s="28" t="s">
        <v>136</v>
      </c>
      <c r="O35" s="28" t="s">
        <v>242</v>
      </c>
      <c r="P35" s="32" t="n">
        <v>0</v>
      </c>
      <c r="Q35" s="33" t="s">
        <v>76</v>
      </c>
      <c r="R35" s="28"/>
    </row>
    <row r="36" customFormat="false" ht="23.85" hidden="false" customHeight="false" outlineLevel="0" collapsed="false">
      <c r="A36" s="12" t="s">
        <v>243</v>
      </c>
      <c r="B36" s="37" t="s">
        <v>21</v>
      </c>
      <c r="C36" s="28" t="s">
        <v>239</v>
      </c>
      <c r="D36" s="28" t="s">
        <v>244</v>
      </c>
      <c r="E36" s="29" t="s">
        <v>70</v>
      </c>
      <c r="F36" s="28" t="s">
        <v>245</v>
      </c>
      <c r="G36" s="28" t="s">
        <v>73</v>
      </c>
      <c r="H36" s="28" t="s">
        <v>109</v>
      </c>
      <c r="I36" s="30" t="n">
        <v>4</v>
      </c>
      <c r="J36" s="30" t="n">
        <v>3</v>
      </c>
      <c r="K36" s="12" t="n">
        <f aca="false">I36+J36-1</f>
        <v>6</v>
      </c>
      <c r="L36" s="31" t="n">
        <f aca="false">Overview!$C$5+(I36-1)*7</f>
        <v>46328</v>
      </c>
      <c r="M36" s="31" t="n">
        <f aca="false">L36+(J36-1)*7+4</f>
        <v>46346</v>
      </c>
      <c r="N36" s="28" t="s">
        <v>67</v>
      </c>
      <c r="O36" s="28" t="s">
        <v>246</v>
      </c>
      <c r="P36" s="32" t="n">
        <v>6000</v>
      </c>
      <c r="Q36" s="33" t="s">
        <v>76</v>
      </c>
      <c r="R36" s="28" t="s">
        <v>206</v>
      </c>
    </row>
    <row r="37" customFormat="false" ht="15" hidden="false" customHeight="false" outlineLevel="0" collapsed="false">
      <c r="A37" s="12" t="s">
        <v>247</v>
      </c>
      <c r="B37" s="37" t="s">
        <v>21</v>
      </c>
      <c r="C37" s="28" t="s">
        <v>239</v>
      </c>
      <c r="D37" s="28" t="s">
        <v>248</v>
      </c>
      <c r="E37" s="29" t="s">
        <v>70</v>
      </c>
      <c r="F37" s="28" t="s">
        <v>249</v>
      </c>
      <c r="G37" s="28" t="s">
        <v>109</v>
      </c>
      <c r="H37" s="28" t="s">
        <v>88</v>
      </c>
      <c r="I37" s="30" t="n">
        <v>7</v>
      </c>
      <c r="J37" s="30" t="n">
        <v>1</v>
      </c>
      <c r="K37" s="12" t="n">
        <f aca="false">I37+J37-1</f>
        <v>7</v>
      </c>
      <c r="L37" s="31" t="n">
        <f aca="false">Overview!$C$5+(I37-1)*7</f>
        <v>46349</v>
      </c>
      <c r="M37" s="31" t="n">
        <f aca="false">L37+(J37-1)*7+4</f>
        <v>46353</v>
      </c>
      <c r="N37" s="28" t="s">
        <v>243</v>
      </c>
      <c r="O37" s="28" t="s">
        <v>250</v>
      </c>
      <c r="P37" s="32" t="n">
        <v>0</v>
      </c>
      <c r="Q37" s="33" t="s">
        <v>76</v>
      </c>
      <c r="R37" s="28"/>
    </row>
    <row r="38" customFormat="false" ht="35.05" hidden="false" customHeight="false" outlineLevel="0" collapsed="false">
      <c r="A38" s="12" t="s">
        <v>251</v>
      </c>
      <c r="B38" s="37" t="s">
        <v>21</v>
      </c>
      <c r="C38" s="28" t="s">
        <v>239</v>
      </c>
      <c r="D38" s="28" t="s">
        <v>252</v>
      </c>
      <c r="E38" s="29" t="s">
        <v>70</v>
      </c>
      <c r="F38" s="28" t="s">
        <v>253</v>
      </c>
      <c r="G38" s="28" t="s">
        <v>89</v>
      </c>
      <c r="H38" s="28" t="s">
        <v>73</v>
      </c>
      <c r="I38" s="30" t="n">
        <v>5</v>
      </c>
      <c r="J38" s="30" t="n">
        <v>4</v>
      </c>
      <c r="K38" s="12" t="n">
        <f aca="false">I38+J38-1</f>
        <v>8</v>
      </c>
      <c r="L38" s="31" t="n">
        <f aca="false">Overview!$C$5+(I38-1)*7</f>
        <v>46335</v>
      </c>
      <c r="M38" s="31" t="n">
        <f aca="false">L38+(J38-1)*7+4</f>
        <v>46360</v>
      </c>
      <c r="N38" s="28" t="s">
        <v>67</v>
      </c>
      <c r="O38" s="28" t="s">
        <v>254</v>
      </c>
      <c r="P38" s="32" t="n">
        <v>10000</v>
      </c>
      <c r="Q38" s="33" t="s">
        <v>76</v>
      </c>
      <c r="R38" s="28" t="s">
        <v>255</v>
      </c>
    </row>
    <row r="39" customFormat="false" ht="23.85" hidden="false" customHeight="false" outlineLevel="0" collapsed="false">
      <c r="A39" s="12" t="s">
        <v>256</v>
      </c>
      <c r="B39" s="37" t="s">
        <v>21</v>
      </c>
      <c r="C39" s="28" t="s">
        <v>239</v>
      </c>
      <c r="D39" s="28" t="s">
        <v>257</v>
      </c>
      <c r="E39" s="29" t="s">
        <v>70</v>
      </c>
      <c r="F39" s="28" t="s">
        <v>258</v>
      </c>
      <c r="G39" s="28" t="s">
        <v>104</v>
      </c>
      <c r="H39" s="28" t="s">
        <v>73</v>
      </c>
      <c r="I39" s="30" t="n">
        <v>6</v>
      </c>
      <c r="J39" s="30" t="n">
        <v>3</v>
      </c>
      <c r="K39" s="12" t="n">
        <f aca="false">I39+J39-1</f>
        <v>8</v>
      </c>
      <c r="L39" s="31" t="n">
        <f aca="false">Overview!$C$5+(I39-1)*7</f>
        <v>46342</v>
      </c>
      <c r="M39" s="31" t="n">
        <f aca="false">L39+(J39-1)*7+4</f>
        <v>46360</v>
      </c>
      <c r="N39" s="28" t="s">
        <v>211</v>
      </c>
      <c r="O39" s="28" t="s">
        <v>259</v>
      </c>
      <c r="P39" s="32" t="n">
        <v>8000</v>
      </c>
      <c r="Q39" s="33" t="s">
        <v>76</v>
      </c>
      <c r="R39" s="28" t="s">
        <v>206</v>
      </c>
    </row>
    <row r="40" customFormat="false" ht="23.85" hidden="false" customHeight="false" outlineLevel="0" collapsed="false">
      <c r="A40" s="12" t="s">
        <v>260</v>
      </c>
      <c r="B40" s="37" t="s">
        <v>21</v>
      </c>
      <c r="C40" s="28" t="s">
        <v>239</v>
      </c>
      <c r="D40" s="28" t="s">
        <v>261</v>
      </c>
      <c r="E40" s="29" t="s">
        <v>70</v>
      </c>
      <c r="F40" s="28" t="s">
        <v>262</v>
      </c>
      <c r="G40" s="28" t="s">
        <v>73</v>
      </c>
      <c r="H40" s="28" t="s">
        <v>109</v>
      </c>
      <c r="I40" s="30" t="n">
        <v>6</v>
      </c>
      <c r="J40" s="30" t="n">
        <v>3</v>
      </c>
      <c r="K40" s="12" t="n">
        <f aca="false">I40+J40-1</f>
        <v>8</v>
      </c>
      <c r="L40" s="31" t="n">
        <f aca="false">Overview!$C$5+(I40-1)*7</f>
        <v>46342</v>
      </c>
      <c r="M40" s="31" t="n">
        <f aca="false">L40+(J40-1)*7+4</f>
        <v>46360</v>
      </c>
      <c r="N40" s="28" t="s">
        <v>67</v>
      </c>
      <c r="O40" s="28" t="s">
        <v>263</v>
      </c>
      <c r="P40" s="32" t="n">
        <v>12000</v>
      </c>
      <c r="Q40" s="33" t="s">
        <v>76</v>
      </c>
      <c r="R40" s="28" t="s">
        <v>206</v>
      </c>
    </row>
    <row r="41" customFormat="false" ht="23.85" hidden="false" customHeight="false" outlineLevel="0" collapsed="false">
      <c r="A41" s="12" t="s">
        <v>264</v>
      </c>
      <c r="B41" s="37" t="s">
        <v>21</v>
      </c>
      <c r="C41" s="28" t="s">
        <v>128</v>
      </c>
      <c r="D41" s="28" t="s">
        <v>265</v>
      </c>
      <c r="E41" s="29" t="s">
        <v>70</v>
      </c>
      <c r="F41" s="28" t="s">
        <v>266</v>
      </c>
      <c r="G41" s="28" t="s">
        <v>104</v>
      </c>
      <c r="H41" s="28" t="s">
        <v>73</v>
      </c>
      <c r="I41" s="30" t="n">
        <v>7</v>
      </c>
      <c r="J41" s="30" t="n">
        <v>3</v>
      </c>
      <c r="K41" s="12" t="n">
        <f aca="false">I41+J41-1</f>
        <v>9</v>
      </c>
      <c r="L41" s="31" t="n">
        <f aca="false">Overview!$C$5+(I41-1)*7</f>
        <v>46349</v>
      </c>
      <c r="M41" s="31" t="n">
        <f aca="false">L41+(J41-1)*7+4</f>
        <v>46367</v>
      </c>
      <c r="N41" s="28" t="s">
        <v>127</v>
      </c>
      <c r="O41" s="28" t="s">
        <v>267</v>
      </c>
      <c r="P41" s="32" t="n">
        <v>2000</v>
      </c>
      <c r="Q41" s="33" t="s">
        <v>76</v>
      </c>
      <c r="R41" s="28" t="s">
        <v>206</v>
      </c>
    </row>
    <row r="42" customFormat="false" ht="23.85" hidden="false" customHeight="false" outlineLevel="0" collapsed="false">
      <c r="A42" s="12" t="s">
        <v>268</v>
      </c>
      <c r="B42" s="37" t="s">
        <v>21</v>
      </c>
      <c r="C42" s="28" t="s">
        <v>269</v>
      </c>
      <c r="D42" s="28" t="s">
        <v>270</v>
      </c>
      <c r="E42" s="29" t="s">
        <v>70</v>
      </c>
      <c r="F42" s="28" t="s">
        <v>271</v>
      </c>
      <c r="G42" s="28" t="s">
        <v>158</v>
      </c>
      <c r="H42" s="28" t="s">
        <v>81</v>
      </c>
      <c r="I42" s="30" t="n">
        <v>6</v>
      </c>
      <c r="J42" s="30" t="n">
        <v>3</v>
      </c>
      <c r="K42" s="12" t="n">
        <f aca="false">I42+J42-1</f>
        <v>8</v>
      </c>
      <c r="L42" s="31" t="n">
        <f aca="false">Overview!$C$5+(I42-1)*7</f>
        <v>46342</v>
      </c>
      <c r="M42" s="31" t="n">
        <f aca="false">L42+(J42-1)*7+4</f>
        <v>46360</v>
      </c>
      <c r="N42" s="28" t="s">
        <v>111</v>
      </c>
      <c r="O42" s="28" t="s">
        <v>272</v>
      </c>
      <c r="P42" s="32" t="n">
        <v>3000</v>
      </c>
      <c r="Q42" s="33" t="s">
        <v>76</v>
      </c>
      <c r="R42" s="28" t="s">
        <v>273</v>
      </c>
    </row>
    <row r="43" customFormat="false" ht="23.85" hidden="false" customHeight="false" outlineLevel="0" collapsed="false">
      <c r="A43" s="12" t="s">
        <v>274</v>
      </c>
      <c r="B43" s="37" t="s">
        <v>21</v>
      </c>
      <c r="C43" s="28" t="s">
        <v>218</v>
      </c>
      <c r="D43" s="28" t="s">
        <v>275</v>
      </c>
      <c r="E43" s="29" t="s">
        <v>70</v>
      </c>
      <c r="F43" s="28" t="s">
        <v>276</v>
      </c>
      <c r="G43" s="28" t="s">
        <v>158</v>
      </c>
      <c r="H43" s="28" t="s">
        <v>199</v>
      </c>
      <c r="I43" s="30" t="n">
        <v>6</v>
      </c>
      <c r="J43" s="30" t="n">
        <v>3</v>
      </c>
      <c r="K43" s="12" t="n">
        <f aca="false">I43+J43-1</f>
        <v>8</v>
      </c>
      <c r="L43" s="31" t="n">
        <f aca="false">Overview!$C$5+(I43-1)*7</f>
        <v>46342</v>
      </c>
      <c r="M43" s="31" t="n">
        <f aca="false">L43+(J43-1)*7+4</f>
        <v>46360</v>
      </c>
      <c r="N43" s="28" t="s">
        <v>202</v>
      </c>
      <c r="O43" s="28" t="s">
        <v>277</v>
      </c>
      <c r="P43" s="32" t="n">
        <v>0</v>
      </c>
      <c r="Q43" s="33" t="s">
        <v>76</v>
      </c>
      <c r="R43" s="28"/>
    </row>
    <row r="44" customFormat="false" ht="23.85" hidden="false" customHeight="false" outlineLevel="0" collapsed="false">
      <c r="A44" s="12" t="s">
        <v>278</v>
      </c>
      <c r="B44" s="37" t="s">
        <v>21</v>
      </c>
      <c r="C44" s="28" t="s">
        <v>269</v>
      </c>
      <c r="D44" s="28" t="s">
        <v>279</v>
      </c>
      <c r="E44" s="29" t="s">
        <v>70</v>
      </c>
      <c r="F44" s="28" t="s">
        <v>280</v>
      </c>
      <c r="G44" s="28" t="s">
        <v>88</v>
      </c>
      <c r="H44" s="28" t="s">
        <v>104</v>
      </c>
      <c r="I44" s="30" t="n">
        <v>7</v>
      </c>
      <c r="J44" s="30" t="n">
        <v>2</v>
      </c>
      <c r="K44" s="12" t="n">
        <f aca="false">I44+J44-1</f>
        <v>8</v>
      </c>
      <c r="L44" s="31" t="n">
        <f aca="false">Overview!$C$5+(I44-1)*7</f>
        <v>46349</v>
      </c>
      <c r="M44" s="31" t="n">
        <f aca="false">L44+(J44-1)*7+4</f>
        <v>46360</v>
      </c>
      <c r="N44" s="28" t="s">
        <v>281</v>
      </c>
      <c r="O44" s="28" t="s">
        <v>282</v>
      </c>
      <c r="P44" s="32" t="n">
        <v>0</v>
      </c>
      <c r="Q44" s="33" t="s">
        <v>76</v>
      </c>
      <c r="R44" s="28"/>
    </row>
    <row r="45" customFormat="false" ht="23.85" hidden="false" customHeight="false" outlineLevel="0" collapsed="false">
      <c r="A45" s="12" t="s">
        <v>283</v>
      </c>
      <c r="B45" s="37" t="s">
        <v>21</v>
      </c>
      <c r="C45" s="28" t="s">
        <v>239</v>
      </c>
      <c r="D45" s="28" t="s">
        <v>284</v>
      </c>
      <c r="E45" s="29" t="s">
        <v>70</v>
      </c>
      <c r="F45" s="28" t="s">
        <v>285</v>
      </c>
      <c r="G45" s="28" t="s">
        <v>89</v>
      </c>
      <c r="H45" s="28" t="s">
        <v>88</v>
      </c>
      <c r="I45" s="30" t="n">
        <v>8</v>
      </c>
      <c r="J45" s="30" t="n">
        <v>1</v>
      </c>
      <c r="K45" s="12" t="n">
        <f aca="false">I45+J45-1</f>
        <v>8</v>
      </c>
      <c r="L45" s="31" t="n">
        <f aca="false">Overview!$C$5+(I45-1)*7</f>
        <v>46356</v>
      </c>
      <c r="M45" s="31" t="n">
        <f aca="false">L45+(J45-1)*7+4</f>
        <v>46360</v>
      </c>
      <c r="N45" s="28" t="s">
        <v>238</v>
      </c>
      <c r="O45" s="28" t="s">
        <v>286</v>
      </c>
      <c r="P45" s="32" t="n">
        <v>0</v>
      </c>
      <c r="Q45" s="33" t="s">
        <v>76</v>
      </c>
      <c r="R45" s="28"/>
    </row>
    <row r="46" customFormat="false" ht="23.85" hidden="false" customHeight="false" outlineLevel="0" collapsed="false">
      <c r="A46" s="12" t="s">
        <v>287</v>
      </c>
      <c r="B46" s="37" t="s">
        <v>21</v>
      </c>
      <c r="C46" s="28" t="s">
        <v>218</v>
      </c>
      <c r="D46" s="28" t="s">
        <v>288</v>
      </c>
      <c r="E46" s="29" t="s">
        <v>70</v>
      </c>
      <c r="F46" s="28" t="s">
        <v>289</v>
      </c>
      <c r="G46" s="28" t="s">
        <v>158</v>
      </c>
      <c r="H46" s="28" t="s">
        <v>73</v>
      </c>
      <c r="I46" s="30" t="n">
        <v>8</v>
      </c>
      <c r="J46" s="30" t="n">
        <v>1</v>
      </c>
      <c r="K46" s="12" t="n">
        <f aca="false">I46+J46-1</f>
        <v>8</v>
      </c>
      <c r="L46" s="31" t="n">
        <f aca="false">Overview!$C$5+(I46-1)*7</f>
        <v>46356</v>
      </c>
      <c r="M46" s="31" t="n">
        <f aca="false">L46+(J46-1)*7+4</f>
        <v>46360</v>
      </c>
      <c r="N46" s="28" t="s">
        <v>290</v>
      </c>
      <c r="O46" s="28" t="s">
        <v>291</v>
      </c>
      <c r="P46" s="32" t="n">
        <v>0</v>
      </c>
      <c r="Q46" s="33" t="s">
        <v>76</v>
      </c>
      <c r="R46" s="28"/>
    </row>
    <row r="47" customFormat="false" ht="15" hidden="false" customHeight="false" outlineLevel="0" collapsed="false">
      <c r="A47" s="34" t="s">
        <v>292</v>
      </c>
      <c r="B47" s="37" t="s">
        <v>21</v>
      </c>
      <c r="C47" s="28" t="s">
        <v>27</v>
      </c>
      <c r="D47" s="35" t="s">
        <v>293</v>
      </c>
      <c r="E47" s="34" t="s">
        <v>27</v>
      </c>
      <c r="F47" s="28" t="s">
        <v>294</v>
      </c>
      <c r="G47" s="28" t="s">
        <v>72</v>
      </c>
      <c r="H47" s="28" t="s">
        <v>139</v>
      </c>
      <c r="I47" s="30" t="n">
        <v>8</v>
      </c>
      <c r="J47" s="30" t="n">
        <v>1</v>
      </c>
      <c r="K47" s="12" t="n">
        <f aca="false">I47+J47-1</f>
        <v>8</v>
      </c>
      <c r="L47" s="31" t="n">
        <f aca="false">Overview!$C$5+(I47-1)*7</f>
        <v>46356</v>
      </c>
      <c r="M47" s="31" t="n">
        <f aca="false">L47+(J47-1)*7+4</f>
        <v>46360</v>
      </c>
      <c r="N47" s="28" t="s">
        <v>295</v>
      </c>
      <c r="O47" s="28" t="s">
        <v>296</v>
      </c>
      <c r="P47" s="32" t="n">
        <v>0</v>
      </c>
      <c r="Q47" s="33" t="s">
        <v>76</v>
      </c>
      <c r="R47" s="28"/>
    </row>
    <row r="48" customFormat="false" ht="15" hidden="false" customHeight="false" outlineLevel="0" collapsed="false">
      <c r="A48" s="34" t="s">
        <v>297</v>
      </c>
      <c r="B48" s="37" t="s">
        <v>21</v>
      </c>
      <c r="C48" s="28" t="s">
        <v>227</v>
      </c>
      <c r="D48" s="35" t="s">
        <v>298</v>
      </c>
      <c r="E48" s="34" t="s">
        <v>227</v>
      </c>
      <c r="F48" s="28" t="s">
        <v>299</v>
      </c>
      <c r="G48" s="28" t="s">
        <v>72</v>
      </c>
      <c r="H48" s="28" t="s">
        <v>88</v>
      </c>
      <c r="I48" s="30" t="n">
        <v>9</v>
      </c>
      <c r="J48" s="30" t="n">
        <v>1</v>
      </c>
      <c r="K48" s="12" t="n">
        <f aca="false">I48+J48-1</f>
        <v>9</v>
      </c>
      <c r="L48" s="31" t="n">
        <f aca="false">Overview!$C$5+(I48-1)*7</f>
        <v>46363</v>
      </c>
      <c r="M48" s="31" t="n">
        <f aca="false">L48+(J48-1)*7+4</f>
        <v>46367</v>
      </c>
      <c r="N48" s="28" t="s">
        <v>292</v>
      </c>
      <c r="O48" s="28" t="s">
        <v>300</v>
      </c>
      <c r="P48" s="32" t="n">
        <v>0</v>
      </c>
      <c r="Q48" s="33" t="s">
        <v>76</v>
      </c>
      <c r="R48" s="28"/>
    </row>
    <row r="49" customFormat="false" ht="23.85" hidden="false" customHeight="false" outlineLevel="0" collapsed="false">
      <c r="A49" s="12" t="s">
        <v>301</v>
      </c>
      <c r="B49" s="37" t="s">
        <v>21</v>
      </c>
      <c r="C49" s="28" t="s">
        <v>218</v>
      </c>
      <c r="D49" s="28" t="s">
        <v>302</v>
      </c>
      <c r="E49" s="29" t="s">
        <v>70</v>
      </c>
      <c r="F49" s="28" t="s">
        <v>303</v>
      </c>
      <c r="G49" s="28" t="s">
        <v>72</v>
      </c>
      <c r="H49" s="28" t="s">
        <v>88</v>
      </c>
      <c r="I49" s="30" t="n">
        <v>9</v>
      </c>
      <c r="J49" s="30" t="n">
        <v>5</v>
      </c>
      <c r="K49" s="12" t="n">
        <f aca="false">I49+J49-1</f>
        <v>13</v>
      </c>
      <c r="L49" s="31" t="n">
        <f aca="false">Overview!$C$5+(I49-1)*7</f>
        <v>46363</v>
      </c>
      <c r="M49" s="31" t="n">
        <f aca="false">L49+(J49-1)*7+4</f>
        <v>46395</v>
      </c>
      <c r="N49" s="28" t="s">
        <v>297</v>
      </c>
      <c r="O49" s="28" t="s">
        <v>304</v>
      </c>
      <c r="P49" s="32" t="n">
        <v>8000</v>
      </c>
      <c r="Q49" s="33" t="s">
        <v>76</v>
      </c>
      <c r="R49" s="28" t="s">
        <v>305</v>
      </c>
    </row>
    <row r="50" customFormat="false" ht="23.85" hidden="false" customHeight="false" outlineLevel="0" collapsed="false">
      <c r="A50" s="12" t="s">
        <v>306</v>
      </c>
      <c r="B50" s="37" t="s">
        <v>21</v>
      </c>
      <c r="C50" s="28" t="s">
        <v>85</v>
      </c>
      <c r="D50" s="28" t="s">
        <v>307</v>
      </c>
      <c r="E50" s="29" t="s">
        <v>70</v>
      </c>
      <c r="F50" s="28" t="s">
        <v>308</v>
      </c>
      <c r="G50" s="28" t="s">
        <v>104</v>
      </c>
      <c r="H50" s="28" t="s">
        <v>88</v>
      </c>
      <c r="I50" s="30" t="n">
        <v>11</v>
      </c>
      <c r="J50" s="30" t="n">
        <v>3</v>
      </c>
      <c r="K50" s="12" t="n">
        <f aca="false">I50+J50-1</f>
        <v>13</v>
      </c>
      <c r="L50" s="31" t="n">
        <f aca="false">Overview!$C$5+(I50-1)*7</f>
        <v>46377</v>
      </c>
      <c r="M50" s="31" t="n">
        <f aca="false">L50+(J50-1)*7+4</f>
        <v>46395</v>
      </c>
      <c r="N50" s="28" t="s">
        <v>297</v>
      </c>
      <c r="O50" s="28" t="s">
        <v>309</v>
      </c>
      <c r="P50" s="32" t="n">
        <v>0</v>
      </c>
      <c r="Q50" s="33" t="s">
        <v>76</v>
      </c>
      <c r="R50" s="28"/>
    </row>
    <row r="51" customFormat="false" ht="15" hidden="false" customHeight="false" outlineLevel="0" collapsed="false">
      <c r="A51" s="34" t="s">
        <v>310</v>
      </c>
      <c r="B51" s="37" t="s">
        <v>21</v>
      </c>
      <c r="C51" s="28" t="s">
        <v>27</v>
      </c>
      <c r="D51" s="35" t="s">
        <v>311</v>
      </c>
      <c r="E51" s="34" t="s">
        <v>27</v>
      </c>
      <c r="F51" s="28" t="s">
        <v>312</v>
      </c>
      <c r="G51" s="28" t="s">
        <v>72</v>
      </c>
      <c r="H51" s="28" t="s">
        <v>139</v>
      </c>
      <c r="I51" s="30" t="n">
        <v>13</v>
      </c>
      <c r="J51" s="30" t="n">
        <v>1</v>
      </c>
      <c r="K51" s="12" t="n">
        <f aca="false">I51+J51-1</f>
        <v>13</v>
      </c>
      <c r="L51" s="31" t="n">
        <f aca="false">Overview!$C$5+(I51-1)*7</f>
        <v>46391</v>
      </c>
      <c r="M51" s="31" t="n">
        <f aca="false">L51+(J51-1)*7+4</f>
        <v>46395</v>
      </c>
      <c r="N51" s="28" t="s">
        <v>301</v>
      </c>
      <c r="O51" s="28" t="s">
        <v>313</v>
      </c>
      <c r="P51" s="32" t="n">
        <v>0</v>
      </c>
      <c r="Q51" s="33" t="s">
        <v>76</v>
      </c>
      <c r="R51" s="28"/>
    </row>
    <row r="52" customFormat="false" ht="23.85" hidden="false" customHeight="false" outlineLevel="0" collapsed="false">
      <c r="A52" s="12" t="s">
        <v>314</v>
      </c>
      <c r="B52" s="38" t="s">
        <v>23</v>
      </c>
      <c r="C52" s="28" t="s">
        <v>315</v>
      </c>
      <c r="D52" s="28" t="s">
        <v>316</v>
      </c>
      <c r="E52" s="29" t="s">
        <v>70</v>
      </c>
      <c r="F52" s="28" t="s">
        <v>317</v>
      </c>
      <c r="G52" s="28" t="s">
        <v>72</v>
      </c>
      <c r="H52" s="28" t="s">
        <v>74</v>
      </c>
      <c r="I52" s="30" t="n">
        <v>7</v>
      </c>
      <c r="J52" s="30" t="n">
        <v>2</v>
      </c>
      <c r="K52" s="12" t="n">
        <f aca="false">I52+J52-1</f>
        <v>8</v>
      </c>
      <c r="L52" s="31" t="n">
        <f aca="false">Overview!$C$5+(I52-1)*7</f>
        <v>46349</v>
      </c>
      <c r="M52" s="31" t="n">
        <f aca="false">L52+(J52-1)*7+4</f>
        <v>46360</v>
      </c>
      <c r="N52" s="28" t="s">
        <v>132</v>
      </c>
      <c r="O52" s="28" t="s">
        <v>318</v>
      </c>
      <c r="P52" s="32" t="n">
        <v>0</v>
      </c>
      <c r="Q52" s="33" t="s">
        <v>76</v>
      </c>
      <c r="R52" s="28"/>
    </row>
    <row r="53" customFormat="false" ht="23.85" hidden="false" customHeight="false" outlineLevel="0" collapsed="false">
      <c r="A53" s="12" t="s">
        <v>319</v>
      </c>
      <c r="B53" s="38" t="s">
        <v>23</v>
      </c>
      <c r="C53" s="28" t="s">
        <v>315</v>
      </c>
      <c r="D53" s="28" t="s">
        <v>320</v>
      </c>
      <c r="E53" s="29" t="s">
        <v>70</v>
      </c>
      <c r="F53" s="28" t="s">
        <v>321</v>
      </c>
      <c r="G53" s="28" t="s">
        <v>180</v>
      </c>
      <c r="H53" s="28" t="s">
        <v>72</v>
      </c>
      <c r="I53" s="30" t="n">
        <v>8</v>
      </c>
      <c r="J53" s="30" t="n">
        <v>3</v>
      </c>
      <c r="K53" s="12" t="n">
        <f aca="false">I53+J53-1</f>
        <v>10</v>
      </c>
      <c r="L53" s="31" t="n">
        <f aca="false">Overview!$C$5+(I53-1)*7</f>
        <v>46356</v>
      </c>
      <c r="M53" s="31" t="n">
        <f aca="false">L53+(J53-1)*7+4</f>
        <v>46374</v>
      </c>
      <c r="N53" s="28" t="s">
        <v>283</v>
      </c>
      <c r="O53" s="28" t="s">
        <v>322</v>
      </c>
      <c r="P53" s="32" t="n">
        <v>0</v>
      </c>
      <c r="Q53" s="33" t="s">
        <v>76</v>
      </c>
      <c r="R53" s="28"/>
    </row>
    <row r="54" customFormat="false" ht="23.85" hidden="false" customHeight="false" outlineLevel="0" collapsed="false">
      <c r="A54" s="12" t="s">
        <v>323</v>
      </c>
      <c r="B54" s="38" t="s">
        <v>23</v>
      </c>
      <c r="C54" s="28" t="s">
        <v>315</v>
      </c>
      <c r="D54" s="28" t="s">
        <v>324</v>
      </c>
      <c r="E54" s="29" t="s">
        <v>70</v>
      </c>
      <c r="F54" s="28" t="s">
        <v>325</v>
      </c>
      <c r="G54" s="28" t="s">
        <v>81</v>
      </c>
      <c r="H54" s="28" t="s">
        <v>180</v>
      </c>
      <c r="I54" s="30" t="n">
        <v>9</v>
      </c>
      <c r="J54" s="30" t="n">
        <v>2</v>
      </c>
      <c r="K54" s="12" t="n">
        <f aca="false">I54+J54-1</f>
        <v>10</v>
      </c>
      <c r="L54" s="31" t="n">
        <f aca="false">Overview!$C$5+(I54-1)*7</f>
        <v>46363</v>
      </c>
      <c r="M54" s="31" t="n">
        <f aca="false">L54+(J54-1)*7+4</f>
        <v>46374</v>
      </c>
      <c r="N54" s="28" t="s">
        <v>77</v>
      </c>
      <c r="O54" s="28" t="s">
        <v>326</v>
      </c>
      <c r="P54" s="32" t="n">
        <v>8000</v>
      </c>
      <c r="Q54" s="33" t="s">
        <v>76</v>
      </c>
      <c r="R54" s="28" t="s">
        <v>206</v>
      </c>
    </row>
    <row r="55" customFormat="false" ht="23.85" hidden="false" customHeight="false" outlineLevel="0" collapsed="false">
      <c r="A55" s="12" t="s">
        <v>327</v>
      </c>
      <c r="B55" s="38" t="s">
        <v>23</v>
      </c>
      <c r="C55" s="28" t="s">
        <v>315</v>
      </c>
      <c r="D55" s="28" t="s">
        <v>328</v>
      </c>
      <c r="E55" s="29" t="s">
        <v>70</v>
      </c>
      <c r="F55" s="28" t="s">
        <v>329</v>
      </c>
      <c r="G55" s="28" t="s">
        <v>72</v>
      </c>
      <c r="H55" s="28" t="s">
        <v>180</v>
      </c>
      <c r="I55" s="30" t="n">
        <v>10</v>
      </c>
      <c r="J55" s="30" t="n">
        <v>3</v>
      </c>
      <c r="K55" s="12" t="n">
        <f aca="false">I55+J55-1</f>
        <v>12</v>
      </c>
      <c r="L55" s="31" t="n">
        <f aca="false">Overview!$C$5+(I55-1)*7</f>
        <v>46370</v>
      </c>
      <c r="M55" s="31" t="n">
        <f aca="false">L55+(J55-1)*7+4</f>
        <v>46388</v>
      </c>
      <c r="N55" s="28" t="s">
        <v>226</v>
      </c>
      <c r="O55" s="28" t="s">
        <v>330</v>
      </c>
      <c r="P55" s="32" t="n">
        <v>0</v>
      </c>
      <c r="Q55" s="33" t="s">
        <v>76</v>
      </c>
      <c r="R55" s="28"/>
    </row>
    <row r="56" customFormat="false" ht="23.85" hidden="false" customHeight="false" outlineLevel="0" collapsed="false">
      <c r="A56" s="12" t="s">
        <v>331</v>
      </c>
      <c r="B56" s="38" t="s">
        <v>23</v>
      </c>
      <c r="C56" s="28" t="s">
        <v>122</v>
      </c>
      <c r="D56" s="28" t="s">
        <v>332</v>
      </c>
      <c r="E56" s="29" t="s">
        <v>70</v>
      </c>
      <c r="F56" s="28" t="s">
        <v>333</v>
      </c>
      <c r="G56" s="28" t="s">
        <v>72</v>
      </c>
      <c r="H56" s="28" t="s">
        <v>88</v>
      </c>
      <c r="I56" s="30" t="n">
        <v>12</v>
      </c>
      <c r="J56" s="30" t="n">
        <v>2</v>
      </c>
      <c r="K56" s="12" t="n">
        <f aca="false">I56+J56-1</f>
        <v>13</v>
      </c>
      <c r="L56" s="31" t="n">
        <f aca="false">Overview!$C$5+(I56-1)*7</f>
        <v>46384</v>
      </c>
      <c r="M56" s="31" t="n">
        <f aca="false">L56+(J56-1)*7+4</f>
        <v>46395</v>
      </c>
      <c r="N56" s="28" t="s">
        <v>310</v>
      </c>
      <c r="O56" s="28" t="s">
        <v>334</v>
      </c>
      <c r="P56" s="32" t="n">
        <v>0</v>
      </c>
      <c r="Q56" s="33" t="s">
        <v>76</v>
      </c>
      <c r="R56" s="28"/>
    </row>
    <row r="57" customFormat="false" ht="15" hidden="false" customHeight="false" outlineLevel="0" collapsed="false">
      <c r="A57" s="12" t="s">
        <v>335</v>
      </c>
      <c r="B57" s="38" t="s">
        <v>23</v>
      </c>
      <c r="C57" s="28" t="s">
        <v>315</v>
      </c>
      <c r="D57" s="28" t="s">
        <v>336</v>
      </c>
      <c r="E57" s="29" t="s">
        <v>70</v>
      </c>
      <c r="F57" s="28" t="s">
        <v>337</v>
      </c>
      <c r="G57" s="28" t="s">
        <v>72</v>
      </c>
      <c r="H57" s="28" t="s">
        <v>74</v>
      </c>
      <c r="I57" s="30" t="n">
        <v>12</v>
      </c>
      <c r="J57" s="30" t="n">
        <v>5</v>
      </c>
      <c r="K57" s="12" t="n">
        <f aca="false">I57+J57-1</f>
        <v>16</v>
      </c>
      <c r="L57" s="31" t="n">
        <f aca="false">Overview!$C$5+(I57-1)*7</f>
        <v>46384</v>
      </c>
      <c r="M57" s="31" t="n">
        <f aca="false">L57+(J57-1)*7+4</f>
        <v>46416</v>
      </c>
      <c r="N57" s="28" t="s">
        <v>331</v>
      </c>
      <c r="O57" s="28" t="s">
        <v>338</v>
      </c>
      <c r="P57" s="32" t="n">
        <v>0</v>
      </c>
      <c r="Q57" s="33" t="s">
        <v>76</v>
      </c>
      <c r="R57" s="28"/>
    </row>
    <row r="58" customFormat="false" ht="15" hidden="false" customHeight="false" outlineLevel="0" collapsed="false">
      <c r="A58" s="12" t="s">
        <v>339</v>
      </c>
      <c r="B58" s="38" t="s">
        <v>23</v>
      </c>
      <c r="C58" s="28" t="s">
        <v>315</v>
      </c>
      <c r="D58" s="28" t="s">
        <v>340</v>
      </c>
      <c r="E58" s="29" t="s">
        <v>70</v>
      </c>
      <c r="F58" s="28" t="s">
        <v>341</v>
      </c>
      <c r="G58" s="28" t="s">
        <v>72</v>
      </c>
      <c r="H58" s="28" t="s">
        <v>180</v>
      </c>
      <c r="I58" s="30" t="n">
        <v>15</v>
      </c>
      <c r="J58" s="30" t="n">
        <v>4</v>
      </c>
      <c r="K58" s="12" t="n">
        <f aca="false">I58+J58-1</f>
        <v>18</v>
      </c>
      <c r="L58" s="31" t="n">
        <f aca="false">Overview!$C$5+(I58-1)*7</f>
        <v>46405</v>
      </c>
      <c r="M58" s="31" t="n">
        <f aca="false">L58+(J58-1)*7+4</f>
        <v>46430</v>
      </c>
      <c r="N58" s="28" t="s">
        <v>335</v>
      </c>
      <c r="O58" s="28" t="s">
        <v>342</v>
      </c>
      <c r="P58" s="32" t="n">
        <v>0</v>
      </c>
      <c r="Q58" s="33" t="s">
        <v>76</v>
      </c>
      <c r="R58" s="28"/>
    </row>
    <row r="59" customFormat="false" ht="15" hidden="false" customHeight="false" outlineLevel="0" collapsed="false">
      <c r="A59" s="34" t="s">
        <v>343</v>
      </c>
      <c r="B59" s="38" t="s">
        <v>23</v>
      </c>
      <c r="C59" s="28" t="s">
        <v>27</v>
      </c>
      <c r="D59" s="35" t="s">
        <v>344</v>
      </c>
      <c r="E59" s="34" t="s">
        <v>27</v>
      </c>
      <c r="F59" s="28" t="s">
        <v>345</v>
      </c>
      <c r="G59" s="28" t="s">
        <v>72</v>
      </c>
      <c r="H59" s="28" t="s">
        <v>81</v>
      </c>
      <c r="I59" s="30" t="n">
        <v>19</v>
      </c>
      <c r="J59" s="30" t="n">
        <v>2</v>
      </c>
      <c r="K59" s="12" t="n">
        <f aca="false">I59+J59-1</f>
        <v>20</v>
      </c>
      <c r="L59" s="31" t="n">
        <f aca="false">Overview!$C$5+(I59-1)*7</f>
        <v>46433</v>
      </c>
      <c r="M59" s="31" t="n">
        <f aca="false">L59+(J59-1)*7+4</f>
        <v>46444</v>
      </c>
      <c r="N59" s="28" t="s">
        <v>339</v>
      </c>
      <c r="O59" s="28" t="s">
        <v>346</v>
      </c>
      <c r="P59" s="32" t="n">
        <v>0</v>
      </c>
      <c r="Q59" s="33" t="s">
        <v>76</v>
      </c>
      <c r="R59" s="28"/>
    </row>
    <row r="61" customFormat="false" ht="15" hidden="false" customHeight="false" outlineLevel="0" collapsed="false">
      <c r="D61" s="4" t="s">
        <v>347</v>
      </c>
      <c r="P61" s="39" t="n">
        <f aca="false">SUM(P5:P59)</f>
        <v>175500</v>
      </c>
    </row>
    <row r="62" customFormat="false" ht="15" hidden="false" customHeight="false" outlineLevel="0" collapsed="false">
      <c r="D62" s="6" t="s">
        <v>348</v>
      </c>
    </row>
  </sheetData>
  <autoFilter ref="A4:R59"/>
  <conditionalFormatting sqref="Q5:Q59">
    <cfRule type="cellIs" priority="2" operator="equal" aboveAverage="0" equalAverage="0" bottom="0" percent="0" rank="0" text="" dxfId="15">
      <formula>"Done"</formula>
    </cfRule>
    <cfRule type="cellIs" priority="3" operator="equal" aboveAverage="0" equalAverage="0" bottom="0" percent="0" rank="0" text="" dxfId="16">
      <formula>"In progress"</formula>
    </cfRule>
    <cfRule type="cellIs" priority="4" operator="equal" aboveAverage="0" equalAverage="0" bottom="0" percent="0" rank="0" text="" dxfId="17">
      <formula>"Blocked"</formula>
    </cfRule>
  </conditionalFormatting>
  <dataValidations count="3">
    <dataValidation allowBlank="false" errorStyle="stop" operator="between" showDropDown="false" showErrorMessage="false" showInputMessage="false" sqref="Q5:Q59" type="list">
      <formula1>"Not started,In progress,Blocked,Done"</formula1>
      <formula2>0</formula2>
    </dataValidation>
    <dataValidation allowBlank="true" errorStyle="stop" operator="between" showDropDown="false" showErrorMessage="false" showInputMessage="false" sqref="G5:H59" type="list">
      <formula1>Roles!$A$5:$A$16</formula1>
      <formula2>0</formula2>
    </dataValidation>
    <dataValidation allowBlank="false" errorStyle="stop" operator="between" showDropDown="false" showErrorMessage="false" showInputMessage="false" sqref="E5:E59" type="list">
      <formula1>"Task,Milestone,Gate"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44"/>
    <col collapsed="false" customWidth="true" hidden="false" outlineLevel="0" max="4" min="4" style="0" width="26"/>
    <col collapsed="false" customWidth="true" hidden="false" outlineLevel="0" max="6" min="5" style="0" width="7"/>
    <col collapsed="false" customWidth="true" hidden="false" outlineLevel="0" max="26" min="7" style="0" width="4.2"/>
  </cols>
  <sheetData>
    <row r="1" customFormat="false" ht="19.7" hidden="false" customHeight="false" outlineLevel="0" collapsed="false">
      <c r="A1" s="1" t="s">
        <v>349</v>
      </c>
    </row>
    <row r="2" customFormat="false" ht="15" hidden="false" customHeight="false" outlineLevel="0" collapsed="false">
      <c r="A2" s="2" t="s">
        <v>350</v>
      </c>
    </row>
    <row r="3" customFormat="false" ht="15" hidden="false" customHeight="false" outlineLevel="0" collapsed="false">
      <c r="F3" s="4" t="s">
        <v>351</v>
      </c>
      <c r="G3" s="40" t="n">
        <v>1</v>
      </c>
      <c r="H3" s="40" t="n">
        <v>2</v>
      </c>
      <c r="I3" s="40" t="n">
        <v>3</v>
      </c>
      <c r="J3" s="40" t="n">
        <v>4</v>
      </c>
      <c r="K3" s="40" t="n">
        <v>5</v>
      </c>
      <c r="L3" s="40" t="n">
        <v>6</v>
      </c>
      <c r="M3" s="40" t="n">
        <v>7</v>
      </c>
      <c r="N3" s="40" t="n">
        <v>8</v>
      </c>
      <c r="O3" s="40" t="n">
        <v>9</v>
      </c>
      <c r="P3" s="40" t="n">
        <v>10</v>
      </c>
      <c r="Q3" s="40" t="n">
        <v>11</v>
      </c>
      <c r="R3" s="40" t="n">
        <v>12</v>
      </c>
      <c r="S3" s="40" t="n">
        <v>13</v>
      </c>
      <c r="T3" s="40" t="n">
        <v>14</v>
      </c>
      <c r="U3" s="40" t="n">
        <v>15</v>
      </c>
      <c r="V3" s="40" t="n">
        <v>16</v>
      </c>
      <c r="W3" s="40" t="n">
        <v>17</v>
      </c>
      <c r="X3" s="40" t="n">
        <v>18</v>
      </c>
      <c r="Y3" s="40" t="n">
        <v>19</v>
      </c>
      <c r="Z3" s="40" t="n">
        <v>20</v>
      </c>
    </row>
    <row r="4" customFormat="false" ht="45.75" hidden="false" customHeight="true" outlineLevel="0" collapsed="false">
      <c r="A4" s="9" t="s">
        <v>52</v>
      </c>
      <c r="B4" s="9" t="s">
        <v>9</v>
      </c>
      <c r="C4" s="9" t="s">
        <v>70</v>
      </c>
      <c r="D4" s="9" t="s">
        <v>352</v>
      </c>
      <c r="E4" s="9" t="s">
        <v>11</v>
      </c>
      <c r="F4" s="9" t="s">
        <v>12</v>
      </c>
      <c r="G4" s="41" t="n">
        <f aca="false">Overview!$C$5+(G$3-1)*7</f>
        <v>46307</v>
      </c>
      <c r="H4" s="41" t="n">
        <f aca="false">Overview!$C$5+(H$3-1)*7</f>
        <v>46314</v>
      </c>
      <c r="I4" s="41" t="n">
        <f aca="false">Overview!$C$5+(I$3-1)*7</f>
        <v>46321</v>
      </c>
      <c r="J4" s="41" t="n">
        <f aca="false">Overview!$C$5+(J$3-1)*7</f>
        <v>46328</v>
      </c>
      <c r="K4" s="41" t="n">
        <f aca="false">Overview!$C$5+(K$3-1)*7</f>
        <v>46335</v>
      </c>
      <c r="L4" s="41" t="n">
        <f aca="false">Overview!$C$5+(L$3-1)*7</f>
        <v>46342</v>
      </c>
      <c r="M4" s="41" t="n">
        <f aca="false">Overview!$C$5+(M$3-1)*7</f>
        <v>46349</v>
      </c>
      <c r="N4" s="41" t="n">
        <f aca="false">Overview!$C$5+(N$3-1)*7</f>
        <v>46356</v>
      </c>
      <c r="O4" s="41" t="n">
        <f aca="false">Overview!$C$5+(O$3-1)*7</f>
        <v>46363</v>
      </c>
      <c r="P4" s="41" t="n">
        <f aca="false">Overview!$C$5+(P$3-1)*7</f>
        <v>46370</v>
      </c>
      <c r="Q4" s="41" t="n">
        <f aca="false">Overview!$C$5+(Q$3-1)*7</f>
        <v>46377</v>
      </c>
      <c r="R4" s="41" t="n">
        <f aca="false">Overview!$C$5+(R$3-1)*7</f>
        <v>46384</v>
      </c>
      <c r="S4" s="41" t="n">
        <f aca="false">Overview!$C$5+(S$3-1)*7</f>
        <v>46391</v>
      </c>
      <c r="T4" s="41" t="n">
        <f aca="false">Overview!$C$5+(T$3-1)*7</f>
        <v>46398</v>
      </c>
      <c r="U4" s="41" t="n">
        <f aca="false">Overview!$C$5+(U$3-1)*7</f>
        <v>46405</v>
      </c>
      <c r="V4" s="41" t="n">
        <f aca="false">Overview!$C$5+(V$3-1)*7</f>
        <v>46412</v>
      </c>
      <c r="W4" s="41" t="n">
        <f aca="false">Overview!$C$5+(W$3-1)*7</f>
        <v>46419</v>
      </c>
      <c r="X4" s="41" t="n">
        <f aca="false">Overview!$C$5+(X$3-1)*7</f>
        <v>46426</v>
      </c>
      <c r="Y4" s="41" t="n">
        <f aca="false">Overview!$C$5+(Y$3-1)*7</f>
        <v>46433</v>
      </c>
      <c r="Z4" s="41" t="n">
        <f aca="false">Overview!$C$5+(Z$3-1)*7</f>
        <v>46440</v>
      </c>
    </row>
    <row r="5" customFormat="false" ht="15" hidden="false" customHeight="false" outlineLevel="0" collapsed="false">
      <c r="A5" s="42" t="str">
        <f aca="false">Roadmap!A5</f>
        <v>0.01</v>
      </c>
      <c r="B5" s="42" t="str">
        <f aca="false">Roadmap!B5</f>
        <v>P0 Validate</v>
      </c>
      <c r="C5" s="28" t="str">
        <f aca="false">Roadmap!D5</f>
        <v>Define wedge, ideal customer and 3 core hypotheses</v>
      </c>
      <c r="D5" s="28" t="str">
        <f aca="false">Roadmap!G5</f>
        <v>Founder &amp; CEO</v>
      </c>
      <c r="E5" s="42" t="n">
        <f aca="false">Roadmap!I5</f>
        <v>1</v>
      </c>
      <c r="F5" s="42" t="n">
        <f aca="false">Roadmap!K5</f>
        <v>1</v>
      </c>
      <c r="G5" s="43" t="n">
        <f aca="false">IF(AND(G$3&gt;=$E5,G$3&lt;=$F5),1,"")</f>
        <v>1</v>
      </c>
      <c r="H5" s="43" t="str">
        <f aca="false">IF(AND(H$3&gt;=$E5,H$3&lt;=$F5),1,"")</f>
        <v/>
      </c>
      <c r="I5" s="43" t="str">
        <f aca="false">IF(AND(I$3&gt;=$E5,I$3&lt;=$F5),1,"")</f>
        <v/>
      </c>
      <c r="J5" s="43" t="str">
        <f aca="false">IF(AND(J$3&gt;=$E5,J$3&lt;=$F5),1,"")</f>
        <v/>
      </c>
      <c r="K5" s="43" t="str">
        <f aca="false">IF(AND(K$3&gt;=$E5,K$3&lt;=$F5),1,"")</f>
        <v/>
      </c>
      <c r="L5" s="43" t="str">
        <f aca="false">IF(AND(L$3&gt;=$E5,L$3&lt;=$F5),1,"")</f>
        <v/>
      </c>
      <c r="M5" s="43" t="str">
        <f aca="false">IF(AND(M$3&gt;=$E5,M$3&lt;=$F5),1,"")</f>
        <v/>
      </c>
      <c r="N5" s="43" t="str">
        <f aca="false">IF(AND(N$3&gt;=$E5,N$3&lt;=$F5),1,"")</f>
        <v/>
      </c>
      <c r="O5" s="43" t="str">
        <f aca="false">IF(AND(O$3&gt;=$E5,O$3&lt;=$F5),1,"")</f>
        <v/>
      </c>
      <c r="P5" s="43" t="str">
        <f aca="false">IF(AND(P$3&gt;=$E5,P$3&lt;=$F5),1,"")</f>
        <v/>
      </c>
      <c r="Q5" s="43" t="str">
        <f aca="false">IF(AND(Q$3&gt;=$E5,Q$3&lt;=$F5),1,"")</f>
        <v/>
      </c>
      <c r="R5" s="43" t="str">
        <f aca="false">IF(AND(R$3&gt;=$E5,R$3&lt;=$F5),1,"")</f>
        <v/>
      </c>
      <c r="S5" s="43" t="str">
        <f aca="false">IF(AND(S$3&gt;=$E5,S$3&lt;=$F5),1,"")</f>
        <v/>
      </c>
      <c r="T5" s="43" t="str">
        <f aca="false">IF(AND(T$3&gt;=$E5,T$3&lt;=$F5),1,"")</f>
        <v/>
      </c>
      <c r="U5" s="43" t="str">
        <f aca="false">IF(AND(U$3&gt;=$E5,U$3&lt;=$F5),1,"")</f>
        <v/>
      </c>
      <c r="V5" s="43" t="str">
        <f aca="false">IF(AND(V$3&gt;=$E5,V$3&lt;=$F5),1,"")</f>
        <v/>
      </c>
      <c r="W5" s="43" t="str">
        <f aca="false">IF(AND(W$3&gt;=$E5,W$3&lt;=$F5),1,"")</f>
        <v/>
      </c>
      <c r="X5" s="43" t="str">
        <f aca="false">IF(AND(X$3&gt;=$E5,X$3&lt;=$F5),1,"")</f>
        <v/>
      </c>
      <c r="Y5" s="43" t="str">
        <f aca="false">IF(AND(Y$3&gt;=$E5,Y$3&lt;=$F5),1,"")</f>
        <v/>
      </c>
      <c r="Z5" s="43" t="str">
        <f aca="false">IF(AND(Z$3&gt;=$E5,Z$3&lt;=$F5),1,"")</f>
        <v/>
      </c>
    </row>
    <row r="6" customFormat="false" ht="15" hidden="false" customHeight="false" outlineLevel="0" collapsed="false">
      <c r="A6" s="42" t="str">
        <f aca="false">Roadmap!A6</f>
        <v>0.02</v>
      </c>
      <c r="B6" s="42" t="str">
        <f aca="false">Roadmap!B6</f>
        <v>P0 Validate</v>
      </c>
      <c r="C6" s="28" t="str">
        <f aca="false">Roadmap!D6</f>
        <v>Founders agreement, vesting and IP assignment</v>
      </c>
      <c r="D6" s="28" t="str">
        <f aca="false">Roadmap!G6</f>
        <v>Founder &amp; CEO</v>
      </c>
      <c r="E6" s="42" t="n">
        <f aca="false">Roadmap!I6</f>
        <v>1</v>
      </c>
      <c r="F6" s="42" t="n">
        <f aca="false">Roadmap!K6</f>
        <v>2</v>
      </c>
      <c r="G6" s="43" t="n">
        <f aca="false">IF(AND(G$3&gt;=$E6,G$3&lt;=$F6),1,"")</f>
        <v>1</v>
      </c>
      <c r="H6" s="43" t="n">
        <f aca="false">IF(AND(H$3&gt;=$E6,H$3&lt;=$F6),1,"")</f>
        <v>1</v>
      </c>
      <c r="I6" s="43" t="str">
        <f aca="false">IF(AND(I$3&gt;=$E6,I$3&lt;=$F6),1,"")</f>
        <v/>
      </c>
      <c r="J6" s="43" t="str">
        <f aca="false">IF(AND(J$3&gt;=$E6,J$3&lt;=$F6),1,"")</f>
        <v/>
      </c>
      <c r="K6" s="43" t="str">
        <f aca="false">IF(AND(K$3&gt;=$E6,K$3&lt;=$F6),1,"")</f>
        <v/>
      </c>
      <c r="L6" s="43" t="str">
        <f aca="false">IF(AND(L$3&gt;=$E6,L$3&lt;=$F6),1,"")</f>
        <v/>
      </c>
      <c r="M6" s="43" t="str">
        <f aca="false">IF(AND(M$3&gt;=$E6,M$3&lt;=$F6),1,"")</f>
        <v/>
      </c>
      <c r="N6" s="43" t="str">
        <f aca="false">IF(AND(N$3&gt;=$E6,N$3&lt;=$F6),1,"")</f>
        <v/>
      </c>
      <c r="O6" s="43" t="str">
        <f aca="false">IF(AND(O$3&gt;=$E6,O$3&lt;=$F6),1,"")</f>
        <v/>
      </c>
      <c r="P6" s="43" t="str">
        <f aca="false">IF(AND(P$3&gt;=$E6,P$3&lt;=$F6),1,"")</f>
        <v/>
      </c>
      <c r="Q6" s="43" t="str">
        <f aca="false">IF(AND(Q$3&gt;=$E6,Q$3&lt;=$F6),1,"")</f>
        <v/>
      </c>
      <c r="R6" s="43" t="str">
        <f aca="false">IF(AND(R$3&gt;=$E6,R$3&lt;=$F6),1,"")</f>
        <v/>
      </c>
      <c r="S6" s="43" t="str">
        <f aca="false">IF(AND(S$3&gt;=$E6,S$3&lt;=$F6),1,"")</f>
        <v/>
      </c>
      <c r="T6" s="43" t="str">
        <f aca="false">IF(AND(T$3&gt;=$E6,T$3&lt;=$F6),1,"")</f>
        <v/>
      </c>
      <c r="U6" s="43" t="str">
        <f aca="false">IF(AND(U$3&gt;=$E6,U$3&lt;=$F6),1,"")</f>
        <v/>
      </c>
      <c r="V6" s="43" t="str">
        <f aca="false">IF(AND(V$3&gt;=$E6,V$3&lt;=$F6),1,"")</f>
        <v/>
      </c>
      <c r="W6" s="43" t="str">
        <f aca="false">IF(AND(W$3&gt;=$E6,W$3&lt;=$F6),1,"")</f>
        <v/>
      </c>
      <c r="X6" s="43" t="str">
        <f aca="false">IF(AND(X$3&gt;=$E6,X$3&lt;=$F6),1,"")</f>
        <v/>
      </c>
      <c r="Y6" s="43" t="str">
        <f aca="false">IF(AND(Y$3&gt;=$E6,Y$3&lt;=$F6),1,"")</f>
        <v/>
      </c>
      <c r="Z6" s="43" t="str">
        <f aca="false">IF(AND(Z$3&gt;=$E6,Z$3&lt;=$F6),1,"")</f>
        <v/>
      </c>
    </row>
    <row r="7" customFormat="false" ht="15" hidden="false" customHeight="false" outlineLevel="0" collapsed="false">
      <c r="A7" s="42" t="str">
        <f aca="false">Roadmap!A7</f>
        <v>0.03</v>
      </c>
      <c r="B7" s="42" t="str">
        <f aca="false">Roadmap!B7</f>
        <v>P0 Validate</v>
      </c>
      <c r="C7" s="28" t="str">
        <f aca="false">Roadmap!D7</f>
        <v>Build the survey and test it with 5 people</v>
      </c>
      <c r="D7" s="28" t="str">
        <f aca="false">Roadmap!G7</f>
        <v>Head of Growth</v>
      </c>
      <c r="E7" s="42" t="n">
        <f aca="false">Roadmap!I7</f>
        <v>1</v>
      </c>
      <c r="F7" s="42" t="n">
        <f aca="false">Roadmap!K7</f>
        <v>1</v>
      </c>
      <c r="G7" s="43" t="n">
        <f aca="false">IF(AND(G$3&gt;=$E7,G$3&lt;=$F7),1,"")</f>
        <v>1</v>
      </c>
      <c r="H7" s="43" t="str">
        <f aca="false">IF(AND(H$3&gt;=$E7,H$3&lt;=$F7),1,"")</f>
        <v/>
      </c>
      <c r="I7" s="43" t="str">
        <f aca="false">IF(AND(I$3&gt;=$E7,I$3&lt;=$F7),1,"")</f>
        <v/>
      </c>
      <c r="J7" s="43" t="str">
        <f aca="false">IF(AND(J$3&gt;=$E7,J$3&lt;=$F7),1,"")</f>
        <v/>
      </c>
      <c r="K7" s="43" t="str">
        <f aca="false">IF(AND(K$3&gt;=$E7,K$3&lt;=$F7),1,"")</f>
        <v/>
      </c>
      <c r="L7" s="43" t="str">
        <f aca="false">IF(AND(L$3&gt;=$E7,L$3&lt;=$F7),1,"")</f>
        <v/>
      </c>
      <c r="M7" s="43" t="str">
        <f aca="false">IF(AND(M$3&gt;=$E7,M$3&lt;=$F7),1,"")</f>
        <v/>
      </c>
      <c r="N7" s="43" t="str">
        <f aca="false">IF(AND(N$3&gt;=$E7,N$3&lt;=$F7),1,"")</f>
        <v/>
      </c>
      <c r="O7" s="43" t="str">
        <f aca="false">IF(AND(O$3&gt;=$E7,O$3&lt;=$F7),1,"")</f>
        <v/>
      </c>
      <c r="P7" s="43" t="str">
        <f aca="false">IF(AND(P$3&gt;=$E7,P$3&lt;=$F7),1,"")</f>
        <v/>
      </c>
      <c r="Q7" s="43" t="str">
        <f aca="false">IF(AND(Q$3&gt;=$E7,Q$3&lt;=$F7),1,"")</f>
        <v/>
      </c>
      <c r="R7" s="43" t="str">
        <f aca="false">IF(AND(R$3&gt;=$E7,R$3&lt;=$F7),1,"")</f>
        <v/>
      </c>
      <c r="S7" s="43" t="str">
        <f aca="false">IF(AND(S$3&gt;=$E7,S$3&lt;=$F7),1,"")</f>
        <v/>
      </c>
      <c r="T7" s="43" t="str">
        <f aca="false">IF(AND(T$3&gt;=$E7,T$3&lt;=$F7),1,"")</f>
        <v/>
      </c>
      <c r="U7" s="43" t="str">
        <f aca="false">IF(AND(U$3&gt;=$E7,U$3&lt;=$F7),1,"")</f>
        <v/>
      </c>
      <c r="V7" s="43" t="str">
        <f aca="false">IF(AND(V$3&gt;=$E7,V$3&lt;=$F7),1,"")</f>
        <v/>
      </c>
      <c r="W7" s="43" t="str">
        <f aca="false">IF(AND(W$3&gt;=$E7,W$3&lt;=$F7),1,"")</f>
        <v/>
      </c>
      <c r="X7" s="43" t="str">
        <f aca="false">IF(AND(X$3&gt;=$E7,X$3&lt;=$F7),1,"")</f>
        <v/>
      </c>
      <c r="Y7" s="43" t="str">
        <f aca="false">IF(AND(Y$3&gt;=$E7,Y$3&lt;=$F7),1,"")</f>
        <v/>
      </c>
      <c r="Z7" s="43" t="str">
        <f aca="false">IF(AND(Z$3&gt;=$E7,Z$3&lt;=$F7),1,"")</f>
        <v/>
      </c>
    </row>
    <row r="8" customFormat="false" ht="15" hidden="false" customHeight="false" outlineLevel="0" collapsed="false">
      <c r="A8" s="42" t="str">
        <f aca="false">Roadmap!A8</f>
        <v>0.04</v>
      </c>
      <c r="B8" s="42" t="str">
        <f aca="false">Roadmap!B8</f>
        <v>P0 Validate</v>
      </c>
      <c r="C8" s="28" t="str">
        <f aca="false">Roadmap!D8</f>
        <v>Run the survey: reach 300+ respondents (50% overseas)</v>
      </c>
      <c r="D8" s="28" t="str">
        <f aca="false">Roadmap!G8</f>
        <v>Head of Growth</v>
      </c>
      <c r="E8" s="42" t="n">
        <f aca="false">Roadmap!I8</f>
        <v>2</v>
      </c>
      <c r="F8" s="42" t="n">
        <f aca="false">Roadmap!K8</f>
        <v>4</v>
      </c>
      <c r="G8" s="43" t="str">
        <f aca="false">IF(AND(G$3&gt;=$E8,G$3&lt;=$F8),1,"")</f>
        <v/>
      </c>
      <c r="H8" s="43" t="n">
        <f aca="false">IF(AND(H$3&gt;=$E8,H$3&lt;=$F8),1,"")</f>
        <v>1</v>
      </c>
      <c r="I8" s="43" t="n">
        <f aca="false">IF(AND(I$3&gt;=$E8,I$3&lt;=$F8),1,"")</f>
        <v>1</v>
      </c>
      <c r="J8" s="43" t="n">
        <f aca="false">IF(AND(J$3&gt;=$E8,J$3&lt;=$F8),1,"")</f>
        <v>1</v>
      </c>
      <c r="K8" s="43" t="str">
        <f aca="false">IF(AND(K$3&gt;=$E8,K$3&lt;=$F8),1,"")</f>
        <v/>
      </c>
      <c r="L8" s="43" t="str">
        <f aca="false">IF(AND(L$3&gt;=$E8,L$3&lt;=$F8),1,"")</f>
        <v/>
      </c>
      <c r="M8" s="43" t="str">
        <f aca="false">IF(AND(M$3&gt;=$E8,M$3&lt;=$F8),1,"")</f>
        <v/>
      </c>
      <c r="N8" s="43" t="str">
        <f aca="false">IF(AND(N$3&gt;=$E8,N$3&lt;=$F8),1,"")</f>
        <v/>
      </c>
      <c r="O8" s="43" t="str">
        <f aca="false">IF(AND(O$3&gt;=$E8,O$3&lt;=$F8),1,"")</f>
        <v/>
      </c>
      <c r="P8" s="43" t="str">
        <f aca="false">IF(AND(P$3&gt;=$E8,P$3&lt;=$F8),1,"")</f>
        <v/>
      </c>
      <c r="Q8" s="43" t="str">
        <f aca="false">IF(AND(Q$3&gt;=$E8,Q$3&lt;=$F8),1,"")</f>
        <v/>
      </c>
      <c r="R8" s="43" t="str">
        <f aca="false">IF(AND(R$3&gt;=$E8,R$3&lt;=$F8),1,"")</f>
        <v/>
      </c>
      <c r="S8" s="43" t="str">
        <f aca="false">IF(AND(S$3&gt;=$E8,S$3&lt;=$F8),1,"")</f>
        <v/>
      </c>
      <c r="T8" s="43" t="str">
        <f aca="false">IF(AND(T$3&gt;=$E8,T$3&lt;=$F8),1,"")</f>
        <v/>
      </c>
      <c r="U8" s="43" t="str">
        <f aca="false">IF(AND(U$3&gt;=$E8,U$3&lt;=$F8),1,"")</f>
        <v/>
      </c>
      <c r="V8" s="43" t="str">
        <f aca="false">IF(AND(V$3&gt;=$E8,V$3&lt;=$F8),1,"")</f>
        <v/>
      </c>
      <c r="W8" s="43" t="str">
        <f aca="false">IF(AND(W$3&gt;=$E8,W$3&lt;=$F8),1,"")</f>
        <v/>
      </c>
      <c r="X8" s="43" t="str">
        <f aca="false">IF(AND(X$3&gt;=$E8,X$3&lt;=$F8),1,"")</f>
        <v/>
      </c>
      <c r="Y8" s="43" t="str">
        <f aca="false">IF(AND(Y$3&gt;=$E8,Y$3&lt;=$F8),1,"")</f>
        <v/>
      </c>
      <c r="Z8" s="43" t="str">
        <f aca="false">IF(AND(Z$3&gt;=$E8,Z$3&lt;=$F8),1,"")</f>
        <v/>
      </c>
    </row>
    <row r="9" customFormat="false" ht="15" hidden="false" customHeight="false" outlineLevel="0" collapsed="false">
      <c r="A9" s="42" t="str">
        <f aca="false">Roadmap!A9</f>
        <v>0.05</v>
      </c>
      <c r="B9" s="42" t="str">
        <f aca="false">Roadmap!B9</f>
        <v>P0 Validate</v>
      </c>
      <c r="C9" s="28" t="str">
        <f aca="false">Roadmap!D9</f>
        <v>30 depth interviews with buyers, investors and tenants</v>
      </c>
      <c r="D9" s="28" t="str">
        <f aca="false">Roadmap!G9</f>
        <v>Founder &amp; CEO</v>
      </c>
      <c r="E9" s="42" t="n">
        <f aca="false">Roadmap!I9</f>
        <v>2</v>
      </c>
      <c r="F9" s="42" t="n">
        <f aca="false">Roadmap!K9</f>
        <v>4</v>
      </c>
      <c r="G9" s="43" t="str">
        <f aca="false">IF(AND(G$3&gt;=$E9,G$3&lt;=$F9),1,"")</f>
        <v/>
      </c>
      <c r="H9" s="43" t="n">
        <f aca="false">IF(AND(H$3&gt;=$E9,H$3&lt;=$F9),1,"")</f>
        <v>1</v>
      </c>
      <c r="I9" s="43" t="n">
        <f aca="false">IF(AND(I$3&gt;=$E9,I$3&lt;=$F9),1,"")</f>
        <v>1</v>
      </c>
      <c r="J9" s="43" t="n">
        <f aca="false">IF(AND(J$3&gt;=$E9,J$3&lt;=$F9),1,"")</f>
        <v>1</v>
      </c>
      <c r="K9" s="43" t="str">
        <f aca="false">IF(AND(K$3&gt;=$E9,K$3&lt;=$F9),1,"")</f>
        <v/>
      </c>
      <c r="L9" s="43" t="str">
        <f aca="false">IF(AND(L$3&gt;=$E9,L$3&lt;=$F9),1,"")</f>
        <v/>
      </c>
      <c r="M9" s="43" t="str">
        <f aca="false">IF(AND(M$3&gt;=$E9,M$3&lt;=$F9),1,"")</f>
        <v/>
      </c>
      <c r="N9" s="43" t="str">
        <f aca="false">IF(AND(N$3&gt;=$E9,N$3&lt;=$F9),1,"")</f>
        <v/>
      </c>
      <c r="O9" s="43" t="str">
        <f aca="false">IF(AND(O$3&gt;=$E9,O$3&lt;=$F9),1,"")</f>
        <v/>
      </c>
      <c r="P9" s="43" t="str">
        <f aca="false">IF(AND(P$3&gt;=$E9,P$3&lt;=$F9),1,"")</f>
        <v/>
      </c>
      <c r="Q9" s="43" t="str">
        <f aca="false">IF(AND(Q$3&gt;=$E9,Q$3&lt;=$F9),1,"")</f>
        <v/>
      </c>
      <c r="R9" s="43" t="str">
        <f aca="false">IF(AND(R$3&gt;=$E9,R$3&lt;=$F9),1,"")</f>
        <v/>
      </c>
      <c r="S9" s="43" t="str">
        <f aca="false">IF(AND(S$3&gt;=$E9,S$3&lt;=$F9),1,"")</f>
        <v/>
      </c>
      <c r="T9" s="43" t="str">
        <f aca="false">IF(AND(T$3&gt;=$E9,T$3&lt;=$F9),1,"")</f>
        <v/>
      </c>
      <c r="U9" s="43" t="str">
        <f aca="false">IF(AND(U$3&gt;=$E9,U$3&lt;=$F9),1,"")</f>
        <v/>
      </c>
      <c r="V9" s="43" t="str">
        <f aca="false">IF(AND(V$3&gt;=$E9,V$3&lt;=$F9),1,"")</f>
        <v/>
      </c>
      <c r="W9" s="43" t="str">
        <f aca="false">IF(AND(W$3&gt;=$E9,W$3&lt;=$F9),1,"")</f>
        <v/>
      </c>
      <c r="X9" s="43" t="str">
        <f aca="false">IF(AND(X$3&gt;=$E9,X$3&lt;=$F9),1,"")</f>
        <v/>
      </c>
      <c r="Y9" s="43" t="str">
        <f aca="false">IF(AND(Y$3&gt;=$E9,Y$3&lt;=$F9),1,"")</f>
        <v/>
      </c>
      <c r="Z9" s="43" t="str">
        <f aca="false">IF(AND(Z$3&gt;=$E9,Z$3&lt;=$F9),1,"")</f>
        <v/>
      </c>
    </row>
    <row r="10" customFormat="false" ht="23.85" hidden="false" customHeight="false" outlineLevel="0" collapsed="false">
      <c r="A10" s="42" t="str">
        <f aca="false">Roadmap!A10</f>
        <v>0.06</v>
      </c>
      <c r="B10" s="42" t="str">
        <f aca="false">Roadmap!B10</f>
        <v>P0 Validate</v>
      </c>
      <c r="C10" s="28" t="str">
        <f aca="false">Roadmap!D10</f>
        <v>Supply-side interviews: developers, brokerages, designers, furniture brands</v>
      </c>
      <c r="D10" s="28" t="str">
        <f aca="false">Roadmap!G10</f>
        <v>Partnerships Lead (Developers &amp; Supply)</v>
      </c>
      <c r="E10" s="42" t="n">
        <f aca="false">Roadmap!I10</f>
        <v>2</v>
      </c>
      <c r="F10" s="42" t="n">
        <f aca="false">Roadmap!K10</f>
        <v>4</v>
      </c>
      <c r="G10" s="43" t="str">
        <f aca="false">IF(AND(G$3&gt;=$E10,G$3&lt;=$F10),1,"")</f>
        <v/>
      </c>
      <c r="H10" s="43" t="n">
        <f aca="false">IF(AND(H$3&gt;=$E10,H$3&lt;=$F10),1,"")</f>
        <v>1</v>
      </c>
      <c r="I10" s="43" t="n">
        <f aca="false">IF(AND(I$3&gt;=$E10,I$3&lt;=$F10),1,"")</f>
        <v>1</v>
      </c>
      <c r="J10" s="43" t="n">
        <f aca="false">IF(AND(J$3&gt;=$E10,J$3&lt;=$F10),1,"")</f>
        <v>1</v>
      </c>
      <c r="K10" s="43" t="str">
        <f aca="false">IF(AND(K$3&gt;=$E10,K$3&lt;=$F10),1,"")</f>
        <v/>
      </c>
      <c r="L10" s="43" t="str">
        <f aca="false">IF(AND(L$3&gt;=$E10,L$3&lt;=$F10),1,"")</f>
        <v/>
      </c>
      <c r="M10" s="43" t="str">
        <f aca="false">IF(AND(M$3&gt;=$E10,M$3&lt;=$F10),1,"")</f>
        <v/>
      </c>
      <c r="N10" s="43" t="str">
        <f aca="false">IF(AND(N$3&gt;=$E10,N$3&lt;=$F10),1,"")</f>
        <v/>
      </c>
      <c r="O10" s="43" t="str">
        <f aca="false">IF(AND(O$3&gt;=$E10,O$3&lt;=$F10),1,"")</f>
        <v/>
      </c>
      <c r="P10" s="43" t="str">
        <f aca="false">IF(AND(P$3&gt;=$E10,P$3&lt;=$F10),1,"")</f>
        <v/>
      </c>
      <c r="Q10" s="43" t="str">
        <f aca="false">IF(AND(Q$3&gt;=$E10,Q$3&lt;=$F10),1,"")</f>
        <v/>
      </c>
      <c r="R10" s="43" t="str">
        <f aca="false">IF(AND(R$3&gt;=$E10,R$3&lt;=$F10),1,"")</f>
        <v/>
      </c>
      <c r="S10" s="43" t="str">
        <f aca="false">IF(AND(S$3&gt;=$E10,S$3&lt;=$F10),1,"")</f>
        <v/>
      </c>
      <c r="T10" s="43" t="str">
        <f aca="false">IF(AND(T$3&gt;=$E10,T$3&lt;=$F10),1,"")</f>
        <v/>
      </c>
      <c r="U10" s="43" t="str">
        <f aca="false">IF(AND(U$3&gt;=$E10,U$3&lt;=$F10),1,"")</f>
        <v/>
      </c>
      <c r="V10" s="43" t="str">
        <f aca="false">IF(AND(V$3&gt;=$E10,V$3&lt;=$F10),1,"")</f>
        <v/>
      </c>
      <c r="W10" s="43" t="str">
        <f aca="false">IF(AND(W$3&gt;=$E10,W$3&lt;=$F10),1,"")</f>
        <v/>
      </c>
      <c r="X10" s="43" t="str">
        <f aca="false">IF(AND(X$3&gt;=$E10,X$3&lt;=$F10),1,"")</f>
        <v/>
      </c>
      <c r="Y10" s="43" t="str">
        <f aca="false">IF(AND(Y$3&gt;=$E10,Y$3&lt;=$F10),1,"")</f>
        <v/>
      </c>
      <c r="Z10" s="43" t="str">
        <f aca="false">IF(AND(Z$3&gt;=$E10,Z$3&lt;=$F10),1,"")</f>
        <v/>
      </c>
    </row>
    <row r="11" customFormat="false" ht="15" hidden="false" customHeight="false" outlineLevel="0" collapsed="false">
      <c r="A11" s="42" t="str">
        <f aca="false">Roadmap!A11</f>
        <v>0.07</v>
      </c>
      <c r="B11" s="42" t="str">
        <f aca="false">Roadmap!B11</f>
        <v>P0 Validate</v>
      </c>
      <c r="C11" s="28" t="str">
        <f aca="false">Roadmap!D11</f>
        <v>Mystery-shop 6 competitors end to end</v>
      </c>
      <c r="D11" s="28" t="str">
        <f aca="false">Roadmap!G11</f>
        <v>Head of Growth</v>
      </c>
      <c r="E11" s="42" t="n">
        <f aca="false">Roadmap!I11</f>
        <v>2</v>
      </c>
      <c r="F11" s="42" t="n">
        <f aca="false">Roadmap!K11</f>
        <v>3</v>
      </c>
      <c r="G11" s="43" t="str">
        <f aca="false">IF(AND(G$3&gt;=$E11,G$3&lt;=$F11),1,"")</f>
        <v/>
      </c>
      <c r="H11" s="43" t="n">
        <f aca="false">IF(AND(H$3&gt;=$E11,H$3&lt;=$F11),1,"")</f>
        <v>1</v>
      </c>
      <c r="I11" s="43" t="n">
        <f aca="false">IF(AND(I$3&gt;=$E11,I$3&lt;=$F11),1,"")</f>
        <v>1</v>
      </c>
      <c r="J11" s="43" t="str">
        <f aca="false">IF(AND(J$3&gt;=$E11,J$3&lt;=$F11),1,"")</f>
        <v/>
      </c>
      <c r="K11" s="43" t="str">
        <f aca="false">IF(AND(K$3&gt;=$E11,K$3&lt;=$F11),1,"")</f>
        <v/>
      </c>
      <c r="L11" s="43" t="str">
        <f aca="false">IF(AND(L$3&gt;=$E11,L$3&lt;=$F11),1,"")</f>
        <v/>
      </c>
      <c r="M11" s="43" t="str">
        <f aca="false">IF(AND(M$3&gt;=$E11,M$3&lt;=$F11),1,"")</f>
        <v/>
      </c>
      <c r="N11" s="43" t="str">
        <f aca="false">IF(AND(N$3&gt;=$E11,N$3&lt;=$F11),1,"")</f>
        <v/>
      </c>
      <c r="O11" s="43" t="str">
        <f aca="false">IF(AND(O$3&gt;=$E11,O$3&lt;=$F11),1,"")</f>
        <v/>
      </c>
      <c r="P11" s="43" t="str">
        <f aca="false">IF(AND(P$3&gt;=$E11,P$3&lt;=$F11),1,"")</f>
        <v/>
      </c>
      <c r="Q11" s="43" t="str">
        <f aca="false">IF(AND(Q$3&gt;=$E11,Q$3&lt;=$F11),1,"")</f>
        <v/>
      </c>
      <c r="R11" s="43" t="str">
        <f aca="false">IF(AND(R$3&gt;=$E11,R$3&lt;=$F11),1,"")</f>
        <v/>
      </c>
      <c r="S11" s="43" t="str">
        <f aca="false">IF(AND(S$3&gt;=$E11,S$3&lt;=$F11),1,"")</f>
        <v/>
      </c>
      <c r="T11" s="43" t="str">
        <f aca="false">IF(AND(T$3&gt;=$E11,T$3&lt;=$F11),1,"")</f>
        <v/>
      </c>
      <c r="U11" s="43" t="str">
        <f aca="false">IF(AND(U$3&gt;=$E11,U$3&lt;=$F11),1,"")</f>
        <v/>
      </c>
      <c r="V11" s="43" t="str">
        <f aca="false">IF(AND(V$3&gt;=$E11,V$3&lt;=$F11),1,"")</f>
        <v/>
      </c>
      <c r="W11" s="43" t="str">
        <f aca="false">IF(AND(W$3&gt;=$E11,W$3&lt;=$F11),1,"")</f>
        <v/>
      </c>
      <c r="X11" s="43" t="str">
        <f aca="false">IF(AND(X$3&gt;=$E11,X$3&lt;=$F11),1,"")</f>
        <v/>
      </c>
      <c r="Y11" s="43" t="str">
        <f aca="false">IF(AND(Y$3&gt;=$E11,Y$3&lt;=$F11),1,"")</f>
        <v/>
      </c>
      <c r="Z11" s="43" t="str">
        <f aca="false">IF(AND(Z$3&gt;=$E11,Z$3&lt;=$F11),1,"")</f>
        <v/>
      </c>
    </row>
    <row r="12" customFormat="false" ht="23.85" hidden="false" customHeight="false" outlineLevel="0" collapsed="false">
      <c r="A12" s="42" t="str">
        <f aca="false">Roadmap!A12</f>
        <v>0.08</v>
      </c>
      <c r="B12" s="42" t="str">
        <f aca="false">Roadmap!B12</f>
        <v>P0 Validate</v>
      </c>
      <c r="C12" s="28" t="str">
        <f aca="false">Roadmap!D12</f>
        <v>Legal opinion: referral model, payments flow, 3D asset rights, data protection</v>
      </c>
      <c r="D12" s="28" t="str">
        <f aca="false">Roadmap!G12</f>
        <v>Legal Counsel</v>
      </c>
      <c r="E12" s="42" t="n">
        <f aca="false">Roadmap!I12</f>
        <v>2</v>
      </c>
      <c r="F12" s="42" t="n">
        <f aca="false">Roadmap!K12</f>
        <v>4</v>
      </c>
      <c r="G12" s="43" t="str">
        <f aca="false">IF(AND(G$3&gt;=$E12,G$3&lt;=$F12),1,"")</f>
        <v/>
      </c>
      <c r="H12" s="43" t="n">
        <f aca="false">IF(AND(H$3&gt;=$E12,H$3&lt;=$F12),1,"")</f>
        <v>1</v>
      </c>
      <c r="I12" s="43" t="n">
        <f aca="false">IF(AND(I$3&gt;=$E12,I$3&lt;=$F12),1,"")</f>
        <v>1</v>
      </c>
      <c r="J12" s="43" t="n">
        <f aca="false">IF(AND(J$3&gt;=$E12,J$3&lt;=$F12),1,"")</f>
        <v>1</v>
      </c>
      <c r="K12" s="43" t="str">
        <f aca="false">IF(AND(K$3&gt;=$E12,K$3&lt;=$F12),1,"")</f>
        <v/>
      </c>
      <c r="L12" s="43" t="str">
        <f aca="false">IF(AND(L$3&gt;=$E12,L$3&lt;=$F12),1,"")</f>
        <v/>
      </c>
      <c r="M12" s="43" t="str">
        <f aca="false">IF(AND(M$3&gt;=$E12,M$3&lt;=$F12),1,"")</f>
        <v/>
      </c>
      <c r="N12" s="43" t="str">
        <f aca="false">IF(AND(N$3&gt;=$E12,N$3&lt;=$F12),1,"")</f>
        <v/>
      </c>
      <c r="O12" s="43" t="str">
        <f aca="false">IF(AND(O$3&gt;=$E12,O$3&lt;=$F12),1,"")</f>
        <v/>
      </c>
      <c r="P12" s="43" t="str">
        <f aca="false">IF(AND(P$3&gt;=$E12,P$3&lt;=$F12),1,"")</f>
        <v/>
      </c>
      <c r="Q12" s="43" t="str">
        <f aca="false">IF(AND(Q$3&gt;=$E12,Q$3&lt;=$F12),1,"")</f>
        <v/>
      </c>
      <c r="R12" s="43" t="str">
        <f aca="false">IF(AND(R$3&gt;=$E12,R$3&lt;=$F12),1,"")</f>
        <v/>
      </c>
      <c r="S12" s="43" t="str">
        <f aca="false">IF(AND(S$3&gt;=$E12,S$3&lt;=$F12),1,"")</f>
        <v/>
      </c>
      <c r="T12" s="43" t="str">
        <f aca="false">IF(AND(T$3&gt;=$E12,T$3&lt;=$F12),1,"")</f>
        <v/>
      </c>
      <c r="U12" s="43" t="str">
        <f aca="false">IF(AND(U$3&gt;=$E12,U$3&lt;=$F12),1,"")</f>
        <v/>
      </c>
      <c r="V12" s="43" t="str">
        <f aca="false">IF(AND(V$3&gt;=$E12,V$3&lt;=$F12),1,"")</f>
        <v/>
      </c>
      <c r="W12" s="43" t="str">
        <f aca="false">IF(AND(W$3&gt;=$E12,W$3&lt;=$F12),1,"")</f>
        <v/>
      </c>
      <c r="X12" s="43" t="str">
        <f aca="false">IF(AND(X$3&gt;=$E12,X$3&lt;=$F12),1,"")</f>
        <v/>
      </c>
      <c r="Y12" s="43" t="str">
        <f aca="false">IF(AND(Y$3&gt;=$E12,Y$3&lt;=$F12),1,"")</f>
        <v/>
      </c>
      <c r="Z12" s="43" t="str">
        <f aca="false">IF(AND(Z$3&gt;=$E12,Z$3&lt;=$F12),1,"")</f>
        <v/>
      </c>
    </row>
    <row r="13" customFormat="false" ht="15" hidden="false" customHeight="false" outlineLevel="0" collapsed="false">
      <c r="A13" s="42" t="str">
        <f aca="false">Roadmap!A13</f>
        <v>0.09</v>
      </c>
      <c r="B13" s="42" t="str">
        <f aca="false">Roadmap!B13</f>
        <v>P0 Validate</v>
      </c>
      <c r="C13" s="28" t="str">
        <f aca="false">Roadmap!D13</f>
        <v>Analyse survey and build the problem evidence pack</v>
      </c>
      <c r="D13" s="28" t="str">
        <f aca="false">Roadmap!G13</f>
        <v>Data Analyst</v>
      </c>
      <c r="E13" s="42" t="n">
        <f aca="false">Roadmap!I13</f>
        <v>5</v>
      </c>
      <c r="F13" s="42" t="n">
        <f aca="false">Roadmap!K13</f>
        <v>5</v>
      </c>
      <c r="G13" s="43" t="str">
        <f aca="false">IF(AND(G$3&gt;=$E13,G$3&lt;=$F13),1,"")</f>
        <v/>
      </c>
      <c r="H13" s="43" t="str">
        <f aca="false">IF(AND(H$3&gt;=$E13,H$3&lt;=$F13),1,"")</f>
        <v/>
      </c>
      <c r="I13" s="43" t="str">
        <f aca="false">IF(AND(I$3&gt;=$E13,I$3&lt;=$F13),1,"")</f>
        <v/>
      </c>
      <c r="J13" s="43" t="str">
        <f aca="false">IF(AND(J$3&gt;=$E13,J$3&lt;=$F13),1,"")</f>
        <v/>
      </c>
      <c r="K13" s="43" t="n">
        <f aca="false">IF(AND(K$3&gt;=$E13,K$3&lt;=$F13),1,"")</f>
        <v>1</v>
      </c>
      <c r="L13" s="43" t="str">
        <f aca="false">IF(AND(L$3&gt;=$E13,L$3&lt;=$F13),1,"")</f>
        <v/>
      </c>
      <c r="M13" s="43" t="str">
        <f aca="false">IF(AND(M$3&gt;=$E13,M$3&lt;=$F13),1,"")</f>
        <v/>
      </c>
      <c r="N13" s="43" t="str">
        <f aca="false">IF(AND(N$3&gt;=$E13,N$3&lt;=$F13),1,"")</f>
        <v/>
      </c>
      <c r="O13" s="43" t="str">
        <f aca="false">IF(AND(O$3&gt;=$E13,O$3&lt;=$F13),1,"")</f>
        <v/>
      </c>
      <c r="P13" s="43" t="str">
        <f aca="false">IF(AND(P$3&gt;=$E13,P$3&lt;=$F13),1,"")</f>
        <v/>
      </c>
      <c r="Q13" s="43" t="str">
        <f aca="false">IF(AND(Q$3&gt;=$E13,Q$3&lt;=$F13),1,"")</f>
        <v/>
      </c>
      <c r="R13" s="43" t="str">
        <f aca="false">IF(AND(R$3&gt;=$E13,R$3&lt;=$F13),1,"")</f>
        <v/>
      </c>
      <c r="S13" s="43" t="str">
        <f aca="false">IF(AND(S$3&gt;=$E13,S$3&lt;=$F13),1,"")</f>
        <v/>
      </c>
      <c r="T13" s="43" t="str">
        <f aca="false">IF(AND(T$3&gt;=$E13,T$3&lt;=$F13),1,"")</f>
        <v/>
      </c>
      <c r="U13" s="43" t="str">
        <f aca="false">IF(AND(U$3&gt;=$E13,U$3&lt;=$F13),1,"")</f>
        <v/>
      </c>
      <c r="V13" s="43" t="str">
        <f aca="false">IF(AND(V$3&gt;=$E13,V$3&lt;=$F13),1,"")</f>
        <v/>
      </c>
      <c r="W13" s="43" t="str">
        <f aca="false">IF(AND(W$3&gt;=$E13,W$3&lt;=$F13),1,"")</f>
        <v/>
      </c>
      <c r="X13" s="43" t="str">
        <f aca="false">IF(AND(X$3&gt;=$E13,X$3&lt;=$F13),1,"")</f>
        <v/>
      </c>
      <c r="Y13" s="43" t="str">
        <f aca="false">IF(AND(Y$3&gt;=$E13,Y$3&lt;=$F13),1,"")</f>
        <v/>
      </c>
      <c r="Z13" s="43" t="str">
        <f aca="false">IF(AND(Z$3&gt;=$E13,Z$3&lt;=$F13),1,"")</f>
        <v/>
      </c>
    </row>
    <row r="14" customFormat="false" ht="15" hidden="false" customHeight="false" outlineLevel="0" collapsed="false">
      <c r="A14" s="42" t="str">
        <f aca="false">Roadmap!A14</f>
        <v>0.10</v>
      </c>
      <c r="B14" s="42" t="str">
        <f aca="false">Roadmap!B14</f>
        <v>P0 Validate</v>
      </c>
      <c r="C14" s="28" t="str">
        <f aca="false">Roadmap!D14</f>
        <v>Pitch deck v1: problem, market, solution, plan</v>
      </c>
      <c r="D14" s="28" t="str">
        <f aca="false">Roadmap!G14</f>
        <v>Founder &amp; CEO</v>
      </c>
      <c r="E14" s="42" t="n">
        <f aca="false">Roadmap!I14</f>
        <v>3</v>
      </c>
      <c r="F14" s="42" t="n">
        <f aca="false">Roadmap!K14</f>
        <v>5</v>
      </c>
      <c r="G14" s="43" t="str">
        <f aca="false">IF(AND(G$3&gt;=$E14,G$3&lt;=$F14),1,"")</f>
        <v/>
      </c>
      <c r="H14" s="43" t="str">
        <f aca="false">IF(AND(H$3&gt;=$E14,H$3&lt;=$F14),1,"")</f>
        <v/>
      </c>
      <c r="I14" s="43" t="n">
        <f aca="false">IF(AND(I$3&gt;=$E14,I$3&lt;=$F14),1,"")</f>
        <v>1</v>
      </c>
      <c r="J14" s="43" t="n">
        <f aca="false">IF(AND(J$3&gt;=$E14,J$3&lt;=$F14),1,"")</f>
        <v>1</v>
      </c>
      <c r="K14" s="43" t="n">
        <f aca="false">IF(AND(K$3&gt;=$E14,K$3&lt;=$F14),1,"")</f>
        <v>1</v>
      </c>
      <c r="L14" s="43" t="str">
        <f aca="false">IF(AND(L$3&gt;=$E14,L$3&lt;=$F14),1,"")</f>
        <v/>
      </c>
      <c r="M14" s="43" t="str">
        <f aca="false">IF(AND(M$3&gt;=$E14,M$3&lt;=$F14),1,"")</f>
        <v/>
      </c>
      <c r="N14" s="43" t="str">
        <f aca="false">IF(AND(N$3&gt;=$E14,N$3&lt;=$F14),1,"")</f>
        <v/>
      </c>
      <c r="O14" s="43" t="str">
        <f aca="false">IF(AND(O$3&gt;=$E14,O$3&lt;=$F14),1,"")</f>
        <v/>
      </c>
      <c r="P14" s="43" t="str">
        <f aca="false">IF(AND(P$3&gt;=$E14,P$3&lt;=$F14),1,"")</f>
        <v/>
      </c>
      <c r="Q14" s="43" t="str">
        <f aca="false">IF(AND(Q$3&gt;=$E14,Q$3&lt;=$F14),1,"")</f>
        <v/>
      </c>
      <c r="R14" s="43" t="str">
        <f aca="false">IF(AND(R$3&gt;=$E14,R$3&lt;=$F14),1,"")</f>
        <v/>
      </c>
      <c r="S14" s="43" t="str">
        <f aca="false">IF(AND(S$3&gt;=$E14,S$3&lt;=$F14),1,"")</f>
        <v/>
      </c>
      <c r="T14" s="43" t="str">
        <f aca="false">IF(AND(T$3&gt;=$E14,T$3&lt;=$F14),1,"")</f>
        <v/>
      </c>
      <c r="U14" s="43" t="str">
        <f aca="false">IF(AND(U$3&gt;=$E14,U$3&lt;=$F14),1,"")</f>
        <v/>
      </c>
      <c r="V14" s="43" t="str">
        <f aca="false">IF(AND(V$3&gt;=$E14,V$3&lt;=$F14),1,"")</f>
        <v/>
      </c>
      <c r="W14" s="43" t="str">
        <f aca="false">IF(AND(W$3&gt;=$E14,W$3&lt;=$F14),1,"")</f>
        <v/>
      </c>
      <c r="X14" s="43" t="str">
        <f aca="false">IF(AND(X$3&gt;=$E14,X$3&lt;=$F14),1,"")</f>
        <v/>
      </c>
      <c r="Y14" s="43" t="str">
        <f aca="false">IF(AND(Y$3&gt;=$E14,Y$3&lt;=$F14),1,"")</f>
        <v/>
      </c>
      <c r="Z14" s="43" t="str">
        <f aca="false">IF(AND(Z$3&gt;=$E14,Z$3&lt;=$F14),1,"")</f>
        <v/>
      </c>
    </row>
    <row r="15" customFormat="false" ht="23.85" hidden="false" customHeight="false" outlineLevel="0" collapsed="false">
      <c r="A15" s="42" t="str">
        <f aca="false">Roadmap!A15</f>
        <v>0.11</v>
      </c>
      <c r="B15" s="42" t="str">
        <f aca="false">Roadmap!B15</f>
        <v>P0 Validate</v>
      </c>
      <c r="C15" s="28" t="str">
        <f aca="false">Roadmap!D15</f>
        <v>Collect letters of intent: 3 developers, 1 designer, 1 furniture partner</v>
      </c>
      <c r="D15" s="28" t="str">
        <f aca="false">Roadmap!G15</f>
        <v>Partnerships Lead (Developers &amp; Supply)</v>
      </c>
      <c r="E15" s="42" t="n">
        <f aca="false">Roadmap!I15</f>
        <v>3</v>
      </c>
      <c r="F15" s="42" t="n">
        <f aca="false">Roadmap!K15</f>
        <v>6</v>
      </c>
      <c r="G15" s="43" t="str">
        <f aca="false">IF(AND(G$3&gt;=$E15,G$3&lt;=$F15),1,"")</f>
        <v/>
      </c>
      <c r="H15" s="43" t="str">
        <f aca="false">IF(AND(H$3&gt;=$E15,H$3&lt;=$F15),1,"")</f>
        <v/>
      </c>
      <c r="I15" s="43" t="n">
        <f aca="false">IF(AND(I$3&gt;=$E15,I$3&lt;=$F15),1,"")</f>
        <v>1</v>
      </c>
      <c r="J15" s="43" t="n">
        <f aca="false">IF(AND(J$3&gt;=$E15,J$3&lt;=$F15),1,"")</f>
        <v>1</v>
      </c>
      <c r="K15" s="43" t="n">
        <f aca="false">IF(AND(K$3&gt;=$E15,K$3&lt;=$F15),1,"")</f>
        <v>1</v>
      </c>
      <c r="L15" s="43" t="n">
        <f aca="false">IF(AND(L$3&gt;=$E15,L$3&lt;=$F15),1,"")</f>
        <v>1</v>
      </c>
      <c r="M15" s="43" t="str">
        <f aca="false">IF(AND(M$3&gt;=$E15,M$3&lt;=$F15),1,"")</f>
        <v/>
      </c>
      <c r="N15" s="43" t="str">
        <f aca="false">IF(AND(N$3&gt;=$E15,N$3&lt;=$F15),1,"")</f>
        <v/>
      </c>
      <c r="O15" s="43" t="str">
        <f aca="false">IF(AND(O$3&gt;=$E15,O$3&lt;=$F15),1,"")</f>
        <v/>
      </c>
      <c r="P15" s="43" t="str">
        <f aca="false">IF(AND(P$3&gt;=$E15,P$3&lt;=$F15),1,"")</f>
        <v/>
      </c>
      <c r="Q15" s="43" t="str">
        <f aca="false">IF(AND(Q$3&gt;=$E15,Q$3&lt;=$F15),1,"")</f>
        <v/>
      </c>
      <c r="R15" s="43" t="str">
        <f aca="false">IF(AND(R$3&gt;=$E15,R$3&lt;=$F15),1,"")</f>
        <v/>
      </c>
      <c r="S15" s="43" t="str">
        <f aca="false">IF(AND(S$3&gt;=$E15,S$3&lt;=$F15),1,"")</f>
        <v/>
      </c>
      <c r="T15" s="43" t="str">
        <f aca="false">IF(AND(T$3&gt;=$E15,T$3&lt;=$F15),1,"")</f>
        <v/>
      </c>
      <c r="U15" s="43" t="str">
        <f aca="false">IF(AND(U$3&gt;=$E15,U$3&lt;=$F15),1,"")</f>
        <v/>
      </c>
      <c r="V15" s="43" t="str">
        <f aca="false">IF(AND(V$3&gt;=$E15,V$3&lt;=$F15),1,"")</f>
        <v/>
      </c>
      <c r="W15" s="43" t="str">
        <f aca="false">IF(AND(W$3&gt;=$E15,W$3&lt;=$F15),1,"")</f>
        <v/>
      </c>
      <c r="X15" s="43" t="str">
        <f aca="false">IF(AND(X$3&gt;=$E15,X$3&lt;=$F15),1,"")</f>
        <v/>
      </c>
      <c r="Y15" s="43" t="str">
        <f aca="false">IF(AND(Y$3&gt;=$E15,Y$3&lt;=$F15),1,"")</f>
        <v/>
      </c>
      <c r="Z15" s="43" t="str">
        <f aca="false">IF(AND(Z$3&gt;=$E15,Z$3&lt;=$F15),1,"")</f>
        <v/>
      </c>
    </row>
    <row r="16" customFormat="false" ht="15" hidden="false" customHeight="false" outlineLevel="0" collapsed="false">
      <c r="A16" s="42" t="str">
        <f aca="false">Roadmap!A16</f>
        <v>0.12</v>
      </c>
      <c r="B16" s="42" t="str">
        <f aca="false">Roadmap!B16</f>
        <v>P0 Validate</v>
      </c>
      <c r="C16" s="28" t="str">
        <f aca="false">Roadmap!D16</f>
        <v>Review deck v1 with 3-5 mentors or angels and revise</v>
      </c>
      <c r="D16" s="28" t="str">
        <f aca="false">Roadmap!G16</f>
        <v>Founder &amp; CEO</v>
      </c>
      <c r="E16" s="42" t="n">
        <f aca="false">Roadmap!I16</f>
        <v>6</v>
      </c>
      <c r="F16" s="42" t="n">
        <f aca="false">Roadmap!K16</f>
        <v>6</v>
      </c>
      <c r="G16" s="43" t="str">
        <f aca="false">IF(AND(G$3&gt;=$E16,G$3&lt;=$F16),1,"")</f>
        <v/>
      </c>
      <c r="H16" s="43" t="str">
        <f aca="false">IF(AND(H$3&gt;=$E16,H$3&lt;=$F16),1,"")</f>
        <v/>
      </c>
      <c r="I16" s="43" t="str">
        <f aca="false">IF(AND(I$3&gt;=$E16,I$3&lt;=$F16),1,"")</f>
        <v/>
      </c>
      <c r="J16" s="43" t="str">
        <f aca="false">IF(AND(J$3&gt;=$E16,J$3&lt;=$F16),1,"")</f>
        <v/>
      </c>
      <c r="K16" s="43" t="str">
        <f aca="false">IF(AND(K$3&gt;=$E16,K$3&lt;=$F16),1,"")</f>
        <v/>
      </c>
      <c r="L16" s="43" t="n">
        <f aca="false">IF(AND(L$3&gt;=$E16,L$3&lt;=$F16),1,"")</f>
        <v>1</v>
      </c>
      <c r="M16" s="43" t="str">
        <f aca="false">IF(AND(M$3&gt;=$E16,M$3&lt;=$F16),1,"")</f>
        <v/>
      </c>
      <c r="N16" s="43" t="str">
        <f aca="false">IF(AND(N$3&gt;=$E16,N$3&lt;=$F16),1,"")</f>
        <v/>
      </c>
      <c r="O16" s="43" t="str">
        <f aca="false">IF(AND(O$3&gt;=$E16,O$3&lt;=$F16),1,"")</f>
        <v/>
      </c>
      <c r="P16" s="43" t="str">
        <f aca="false">IF(AND(P$3&gt;=$E16,P$3&lt;=$F16),1,"")</f>
        <v/>
      </c>
      <c r="Q16" s="43" t="str">
        <f aca="false">IF(AND(Q$3&gt;=$E16,Q$3&lt;=$F16),1,"")</f>
        <v/>
      </c>
      <c r="R16" s="43" t="str">
        <f aca="false">IF(AND(R$3&gt;=$E16,R$3&lt;=$F16),1,"")</f>
        <v/>
      </c>
      <c r="S16" s="43" t="str">
        <f aca="false">IF(AND(S$3&gt;=$E16,S$3&lt;=$F16),1,"")</f>
        <v/>
      </c>
      <c r="T16" s="43" t="str">
        <f aca="false">IF(AND(T$3&gt;=$E16,T$3&lt;=$F16),1,"")</f>
        <v/>
      </c>
      <c r="U16" s="43" t="str">
        <f aca="false">IF(AND(U$3&gt;=$E16,U$3&lt;=$F16),1,"")</f>
        <v/>
      </c>
      <c r="V16" s="43" t="str">
        <f aca="false">IF(AND(V$3&gt;=$E16,V$3&lt;=$F16),1,"")</f>
        <v/>
      </c>
      <c r="W16" s="43" t="str">
        <f aca="false">IF(AND(W$3&gt;=$E16,W$3&lt;=$F16),1,"")</f>
        <v/>
      </c>
      <c r="X16" s="43" t="str">
        <f aca="false">IF(AND(X$3&gt;=$E16,X$3&lt;=$F16),1,"")</f>
        <v/>
      </c>
      <c r="Y16" s="43" t="str">
        <f aca="false">IF(AND(Y$3&gt;=$E16,Y$3&lt;=$F16),1,"")</f>
        <v/>
      </c>
      <c r="Z16" s="43" t="str">
        <f aca="false">IF(AND(Z$3&gt;=$E16,Z$3&lt;=$F16),1,"")</f>
        <v/>
      </c>
    </row>
    <row r="17" customFormat="false" ht="15" hidden="false" customHeight="false" outlineLevel="0" collapsed="false">
      <c r="A17" s="42" t="str">
        <f aca="false">Roadmap!A17</f>
        <v>0.13</v>
      </c>
      <c r="B17" s="42" t="str">
        <f aca="false">Roadmap!B17</f>
        <v>P0 Validate</v>
      </c>
      <c r="C17" s="28" t="str">
        <f aca="false">Roadmap!D17</f>
        <v>GATE G0: problem and plan validated</v>
      </c>
      <c r="D17" s="28" t="str">
        <f aca="false">Roadmap!G17</f>
        <v>Founder &amp; CEO</v>
      </c>
      <c r="E17" s="42" t="n">
        <f aca="false">Roadmap!I17</f>
        <v>6</v>
      </c>
      <c r="F17" s="42" t="n">
        <f aca="false">Roadmap!K17</f>
        <v>6</v>
      </c>
      <c r="G17" s="43" t="str">
        <f aca="false">IF(AND(G$3&gt;=$E17,G$3&lt;=$F17),1,"")</f>
        <v/>
      </c>
      <c r="H17" s="43" t="str">
        <f aca="false">IF(AND(H$3&gt;=$E17,H$3&lt;=$F17),1,"")</f>
        <v/>
      </c>
      <c r="I17" s="43" t="str">
        <f aca="false">IF(AND(I$3&gt;=$E17,I$3&lt;=$F17),1,"")</f>
        <v/>
      </c>
      <c r="J17" s="43" t="str">
        <f aca="false">IF(AND(J$3&gt;=$E17,J$3&lt;=$F17),1,"")</f>
        <v/>
      </c>
      <c r="K17" s="43" t="str">
        <f aca="false">IF(AND(K$3&gt;=$E17,K$3&lt;=$F17),1,"")</f>
        <v/>
      </c>
      <c r="L17" s="43" t="n">
        <f aca="false">IF(AND(L$3&gt;=$E17,L$3&lt;=$F17),1,"")</f>
        <v>1</v>
      </c>
      <c r="M17" s="43" t="str">
        <f aca="false">IF(AND(M$3&gt;=$E17,M$3&lt;=$F17),1,"")</f>
        <v/>
      </c>
      <c r="N17" s="43" t="str">
        <f aca="false">IF(AND(N$3&gt;=$E17,N$3&lt;=$F17),1,"")</f>
        <v/>
      </c>
      <c r="O17" s="43" t="str">
        <f aca="false">IF(AND(O$3&gt;=$E17,O$3&lt;=$F17),1,"")</f>
        <v/>
      </c>
      <c r="P17" s="43" t="str">
        <f aca="false">IF(AND(P$3&gt;=$E17,P$3&lt;=$F17),1,"")</f>
        <v/>
      </c>
      <c r="Q17" s="43" t="str">
        <f aca="false">IF(AND(Q$3&gt;=$E17,Q$3&lt;=$F17),1,"")</f>
        <v/>
      </c>
      <c r="R17" s="43" t="str">
        <f aca="false">IF(AND(R$3&gt;=$E17,R$3&lt;=$F17),1,"")</f>
        <v/>
      </c>
      <c r="S17" s="43" t="str">
        <f aca="false">IF(AND(S$3&gt;=$E17,S$3&lt;=$F17),1,"")</f>
        <v/>
      </c>
      <c r="T17" s="43" t="str">
        <f aca="false">IF(AND(T$3&gt;=$E17,T$3&lt;=$F17),1,"")</f>
        <v/>
      </c>
      <c r="U17" s="43" t="str">
        <f aca="false">IF(AND(U$3&gt;=$E17,U$3&lt;=$F17),1,"")</f>
        <v/>
      </c>
      <c r="V17" s="43" t="str">
        <f aca="false">IF(AND(V$3&gt;=$E17,V$3&lt;=$F17),1,"")</f>
        <v/>
      </c>
      <c r="W17" s="43" t="str">
        <f aca="false">IF(AND(W$3&gt;=$E17,W$3&lt;=$F17),1,"")</f>
        <v/>
      </c>
      <c r="X17" s="43" t="str">
        <f aca="false">IF(AND(X$3&gt;=$E17,X$3&lt;=$F17),1,"")</f>
        <v/>
      </c>
      <c r="Y17" s="43" t="str">
        <f aca="false">IF(AND(Y$3&gt;=$E17,Y$3&lt;=$F17),1,"")</f>
        <v/>
      </c>
      <c r="Z17" s="43" t="str">
        <f aca="false">IF(AND(Z$3&gt;=$E17,Z$3&lt;=$F17),1,"")</f>
        <v/>
      </c>
    </row>
    <row r="18" customFormat="false" ht="15" hidden="false" customHeight="false" outlineLevel="0" collapsed="false">
      <c r="A18" s="42" t="str">
        <f aca="false">Roadmap!A18</f>
        <v>1.01</v>
      </c>
      <c r="B18" s="42" t="str">
        <f aca="false">Roadmap!B18</f>
        <v>P1 Set up</v>
      </c>
      <c r="C18" s="28" t="str">
        <f aca="false">Roadmap!D18</f>
        <v>Appoint setup consultant (PRO) and confirm entity route</v>
      </c>
      <c r="D18" s="28" t="str">
        <f aca="false">Roadmap!G18</f>
        <v>Founder &amp; CEO</v>
      </c>
      <c r="E18" s="42" t="n">
        <f aca="false">Roadmap!I18</f>
        <v>2</v>
      </c>
      <c r="F18" s="42" t="n">
        <f aca="false">Roadmap!K18</f>
        <v>2</v>
      </c>
      <c r="G18" s="43" t="str">
        <f aca="false">IF(AND(G$3&gt;=$E18,G$3&lt;=$F18),1,"")</f>
        <v/>
      </c>
      <c r="H18" s="43" t="n">
        <f aca="false">IF(AND(H$3&gt;=$E18,H$3&lt;=$F18),1,"")</f>
        <v>1</v>
      </c>
      <c r="I18" s="43" t="str">
        <f aca="false">IF(AND(I$3&gt;=$E18,I$3&lt;=$F18),1,"")</f>
        <v/>
      </c>
      <c r="J18" s="43" t="str">
        <f aca="false">IF(AND(J$3&gt;=$E18,J$3&lt;=$F18),1,"")</f>
        <v/>
      </c>
      <c r="K18" s="43" t="str">
        <f aca="false">IF(AND(K$3&gt;=$E18,K$3&lt;=$F18),1,"")</f>
        <v/>
      </c>
      <c r="L18" s="43" t="str">
        <f aca="false">IF(AND(L$3&gt;=$E18,L$3&lt;=$F18),1,"")</f>
        <v/>
      </c>
      <c r="M18" s="43" t="str">
        <f aca="false">IF(AND(M$3&gt;=$E18,M$3&lt;=$F18),1,"")</f>
        <v/>
      </c>
      <c r="N18" s="43" t="str">
        <f aca="false">IF(AND(N$3&gt;=$E18,N$3&lt;=$F18),1,"")</f>
        <v/>
      </c>
      <c r="O18" s="43" t="str">
        <f aca="false">IF(AND(O$3&gt;=$E18,O$3&lt;=$F18),1,"")</f>
        <v/>
      </c>
      <c r="P18" s="43" t="str">
        <f aca="false">IF(AND(P$3&gt;=$E18,P$3&lt;=$F18),1,"")</f>
        <v/>
      </c>
      <c r="Q18" s="43" t="str">
        <f aca="false">IF(AND(Q$3&gt;=$E18,Q$3&lt;=$F18),1,"")</f>
        <v/>
      </c>
      <c r="R18" s="43" t="str">
        <f aca="false">IF(AND(R$3&gt;=$E18,R$3&lt;=$F18),1,"")</f>
        <v/>
      </c>
      <c r="S18" s="43" t="str">
        <f aca="false">IF(AND(S$3&gt;=$E18,S$3&lt;=$F18),1,"")</f>
        <v/>
      </c>
      <c r="T18" s="43" t="str">
        <f aca="false">IF(AND(T$3&gt;=$E18,T$3&lt;=$F18),1,"")</f>
        <v/>
      </c>
      <c r="U18" s="43" t="str">
        <f aca="false">IF(AND(U$3&gt;=$E18,U$3&lt;=$F18),1,"")</f>
        <v/>
      </c>
      <c r="V18" s="43" t="str">
        <f aca="false">IF(AND(V$3&gt;=$E18,V$3&lt;=$F18),1,"")</f>
        <v/>
      </c>
      <c r="W18" s="43" t="str">
        <f aca="false">IF(AND(W$3&gt;=$E18,W$3&lt;=$F18),1,"")</f>
        <v/>
      </c>
      <c r="X18" s="43" t="str">
        <f aca="false">IF(AND(X$3&gt;=$E18,X$3&lt;=$F18),1,"")</f>
        <v/>
      </c>
      <c r="Y18" s="43" t="str">
        <f aca="false">IF(AND(Y$3&gt;=$E18,Y$3&lt;=$F18),1,"")</f>
        <v/>
      </c>
      <c r="Z18" s="43" t="str">
        <f aca="false">IF(AND(Z$3&gt;=$E18,Z$3&lt;=$F18),1,"")</f>
        <v/>
      </c>
    </row>
    <row r="19" customFormat="false" ht="15" hidden="false" customHeight="false" outlineLevel="0" collapsed="false">
      <c r="A19" s="42" t="str">
        <f aca="false">Roadmap!A19</f>
        <v>1.02</v>
      </c>
      <c r="B19" s="42" t="str">
        <f aca="false">Roadmap!B19</f>
        <v>P1 Set up</v>
      </c>
      <c r="C19" s="28" t="str">
        <f aca="false">Roadmap!D19</f>
        <v>Hire a RERA-certified Broker-Manager</v>
      </c>
      <c r="D19" s="28" t="str">
        <f aca="false">Roadmap!G19</f>
        <v>Founder &amp; CEO</v>
      </c>
      <c r="E19" s="42" t="n">
        <f aca="false">Roadmap!I19</f>
        <v>2</v>
      </c>
      <c r="F19" s="42" t="n">
        <f aca="false">Roadmap!K19</f>
        <v>4</v>
      </c>
      <c r="G19" s="43" t="str">
        <f aca="false">IF(AND(G$3&gt;=$E19,G$3&lt;=$F19),1,"")</f>
        <v/>
      </c>
      <c r="H19" s="43" t="n">
        <f aca="false">IF(AND(H$3&gt;=$E19,H$3&lt;=$F19),1,"")</f>
        <v>1</v>
      </c>
      <c r="I19" s="43" t="n">
        <f aca="false">IF(AND(I$3&gt;=$E19,I$3&lt;=$F19),1,"")</f>
        <v>1</v>
      </c>
      <c r="J19" s="43" t="n">
        <f aca="false">IF(AND(J$3&gt;=$E19,J$3&lt;=$F19),1,"")</f>
        <v>1</v>
      </c>
      <c r="K19" s="43" t="str">
        <f aca="false">IF(AND(K$3&gt;=$E19,K$3&lt;=$F19),1,"")</f>
        <v/>
      </c>
      <c r="L19" s="43" t="str">
        <f aca="false">IF(AND(L$3&gt;=$E19,L$3&lt;=$F19),1,"")</f>
        <v/>
      </c>
      <c r="M19" s="43" t="str">
        <f aca="false">IF(AND(M$3&gt;=$E19,M$3&lt;=$F19),1,"")</f>
        <v/>
      </c>
      <c r="N19" s="43" t="str">
        <f aca="false">IF(AND(N$3&gt;=$E19,N$3&lt;=$F19),1,"")</f>
        <v/>
      </c>
      <c r="O19" s="43" t="str">
        <f aca="false">IF(AND(O$3&gt;=$E19,O$3&lt;=$F19),1,"")</f>
        <v/>
      </c>
      <c r="P19" s="43" t="str">
        <f aca="false">IF(AND(P$3&gt;=$E19,P$3&lt;=$F19),1,"")</f>
        <v/>
      </c>
      <c r="Q19" s="43" t="str">
        <f aca="false">IF(AND(Q$3&gt;=$E19,Q$3&lt;=$F19),1,"")</f>
        <v/>
      </c>
      <c r="R19" s="43" t="str">
        <f aca="false">IF(AND(R$3&gt;=$E19,R$3&lt;=$F19),1,"")</f>
        <v/>
      </c>
      <c r="S19" s="43" t="str">
        <f aca="false">IF(AND(S$3&gt;=$E19,S$3&lt;=$F19),1,"")</f>
        <v/>
      </c>
      <c r="T19" s="43" t="str">
        <f aca="false">IF(AND(T$3&gt;=$E19,T$3&lt;=$F19),1,"")</f>
        <v/>
      </c>
      <c r="U19" s="43" t="str">
        <f aca="false">IF(AND(U$3&gt;=$E19,U$3&lt;=$F19),1,"")</f>
        <v/>
      </c>
      <c r="V19" s="43" t="str">
        <f aca="false">IF(AND(V$3&gt;=$E19,V$3&lt;=$F19),1,"")</f>
        <v/>
      </c>
      <c r="W19" s="43" t="str">
        <f aca="false">IF(AND(W$3&gt;=$E19,W$3&lt;=$F19),1,"")</f>
        <v/>
      </c>
      <c r="X19" s="43" t="str">
        <f aca="false">IF(AND(X$3&gt;=$E19,X$3&lt;=$F19),1,"")</f>
        <v/>
      </c>
      <c r="Y19" s="43" t="str">
        <f aca="false">IF(AND(Y$3&gt;=$E19,Y$3&lt;=$F19),1,"")</f>
        <v/>
      </c>
      <c r="Z19" s="43" t="str">
        <f aca="false">IF(AND(Z$3&gt;=$E19,Z$3&lt;=$F19),1,"")</f>
        <v/>
      </c>
    </row>
    <row r="20" customFormat="false" ht="23.85" hidden="false" customHeight="false" outlineLevel="0" collapsed="false">
      <c r="A20" s="42" t="str">
        <f aca="false">Roadmap!A20</f>
        <v>1.03</v>
      </c>
      <c r="B20" s="42" t="str">
        <f aca="false">Roadmap!B20</f>
        <v>P1 Set up</v>
      </c>
      <c r="C20" s="28" t="str">
        <f aca="false">Roadmap!D20</f>
        <v>Founder and manager complete RERA training (DREI CTREB course) and exam</v>
      </c>
      <c r="D20" s="28" t="str">
        <f aca="false">Roadmap!G20</f>
        <v>Broker-Manager (Head of Brokerage)</v>
      </c>
      <c r="E20" s="42" t="n">
        <f aca="false">Roadmap!I20</f>
        <v>3</v>
      </c>
      <c r="F20" s="42" t="n">
        <f aca="false">Roadmap!K20</f>
        <v>4</v>
      </c>
      <c r="G20" s="43" t="str">
        <f aca="false">IF(AND(G$3&gt;=$E20,G$3&lt;=$F20),1,"")</f>
        <v/>
      </c>
      <c r="H20" s="43" t="str">
        <f aca="false">IF(AND(H$3&gt;=$E20,H$3&lt;=$F20),1,"")</f>
        <v/>
      </c>
      <c r="I20" s="43" t="n">
        <f aca="false">IF(AND(I$3&gt;=$E20,I$3&lt;=$F20),1,"")</f>
        <v>1</v>
      </c>
      <c r="J20" s="43" t="n">
        <f aca="false">IF(AND(J$3&gt;=$E20,J$3&lt;=$F20),1,"")</f>
        <v>1</v>
      </c>
      <c r="K20" s="43" t="str">
        <f aca="false">IF(AND(K$3&gt;=$E20,K$3&lt;=$F20),1,"")</f>
        <v/>
      </c>
      <c r="L20" s="43" t="str">
        <f aca="false">IF(AND(L$3&gt;=$E20,L$3&lt;=$F20),1,"")</f>
        <v/>
      </c>
      <c r="M20" s="43" t="str">
        <f aca="false">IF(AND(M$3&gt;=$E20,M$3&lt;=$F20),1,"")</f>
        <v/>
      </c>
      <c r="N20" s="43" t="str">
        <f aca="false">IF(AND(N$3&gt;=$E20,N$3&lt;=$F20),1,"")</f>
        <v/>
      </c>
      <c r="O20" s="43" t="str">
        <f aca="false">IF(AND(O$3&gt;=$E20,O$3&lt;=$F20),1,"")</f>
        <v/>
      </c>
      <c r="P20" s="43" t="str">
        <f aca="false">IF(AND(P$3&gt;=$E20,P$3&lt;=$F20),1,"")</f>
        <v/>
      </c>
      <c r="Q20" s="43" t="str">
        <f aca="false">IF(AND(Q$3&gt;=$E20,Q$3&lt;=$F20),1,"")</f>
        <v/>
      </c>
      <c r="R20" s="43" t="str">
        <f aca="false">IF(AND(R$3&gt;=$E20,R$3&lt;=$F20),1,"")</f>
        <v/>
      </c>
      <c r="S20" s="43" t="str">
        <f aca="false">IF(AND(S$3&gt;=$E20,S$3&lt;=$F20),1,"")</f>
        <v/>
      </c>
      <c r="T20" s="43" t="str">
        <f aca="false">IF(AND(T$3&gt;=$E20,T$3&lt;=$F20),1,"")</f>
        <v/>
      </c>
      <c r="U20" s="43" t="str">
        <f aca="false">IF(AND(U$3&gt;=$E20,U$3&lt;=$F20),1,"")</f>
        <v/>
      </c>
      <c r="V20" s="43" t="str">
        <f aca="false">IF(AND(V$3&gt;=$E20,V$3&lt;=$F20),1,"")</f>
        <v/>
      </c>
      <c r="W20" s="43" t="str">
        <f aca="false">IF(AND(W$3&gt;=$E20,W$3&lt;=$F20),1,"")</f>
        <v/>
      </c>
      <c r="X20" s="43" t="str">
        <f aca="false">IF(AND(X$3&gt;=$E20,X$3&lt;=$F20),1,"")</f>
        <v/>
      </c>
      <c r="Y20" s="43" t="str">
        <f aca="false">IF(AND(Y$3&gt;=$E20,Y$3&lt;=$F20),1,"")</f>
        <v/>
      </c>
      <c r="Z20" s="43" t="str">
        <f aca="false">IF(AND(Z$3&gt;=$E20,Z$3&lt;=$F20),1,"")</f>
        <v/>
      </c>
    </row>
    <row r="21" customFormat="false" ht="15" hidden="false" customHeight="false" outlineLevel="0" collapsed="false">
      <c r="A21" s="42" t="str">
        <f aca="false">Roadmap!A21</f>
        <v>1.04</v>
      </c>
      <c r="B21" s="42" t="str">
        <f aca="false">Roadmap!B21</f>
        <v>P1 Set up</v>
      </c>
      <c r="C21" s="28" t="str">
        <f aca="false">Roadmap!D21</f>
        <v>Reserve trade name, draft MoA, get DET initial approval</v>
      </c>
      <c r="D21" s="28" t="str">
        <f aca="false">Roadmap!G21</f>
        <v>Business Setup Consultant / PRO</v>
      </c>
      <c r="E21" s="42" t="n">
        <f aca="false">Roadmap!I21</f>
        <v>3</v>
      </c>
      <c r="F21" s="42" t="n">
        <f aca="false">Roadmap!K21</f>
        <v>3</v>
      </c>
      <c r="G21" s="43" t="str">
        <f aca="false">IF(AND(G$3&gt;=$E21,G$3&lt;=$F21),1,"")</f>
        <v/>
      </c>
      <c r="H21" s="43" t="str">
        <f aca="false">IF(AND(H$3&gt;=$E21,H$3&lt;=$F21),1,"")</f>
        <v/>
      </c>
      <c r="I21" s="43" t="n">
        <f aca="false">IF(AND(I$3&gt;=$E21,I$3&lt;=$F21),1,"")</f>
        <v>1</v>
      </c>
      <c r="J21" s="43" t="str">
        <f aca="false">IF(AND(J$3&gt;=$E21,J$3&lt;=$F21),1,"")</f>
        <v/>
      </c>
      <c r="K21" s="43" t="str">
        <f aca="false">IF(AND(K$3&gt;=$E21,K$3&lt;=$F21),1,"")</f>
        <v/>
      </c>
      <c r="L21" s="43" t="str">
        <f aca="false">IF(AND(L$3&gt;=$E21,L$3&lt;=$F21),1,"")</f>
        <v/>
      </c>
      <c r="M21" s="43" t="str">
        <f aca="false">IF(AND(M$3&gt;=$E21,M$3&lt;=$F21),1,"")</f>
        <v/>
      </c>
      <c r="N21" s="43" t="str">
        <f aca="false">IF(AND(N$3&gt;=$E21,N$3&lt;=$F21),1,"")</f>
        <v/>
      </c>
      <c r="O21" s="43" t="str">
        <f aca="false">IF(AND(O$3&gt;=$E21,O$3&lt;=$F21),1,"")</f>
        <v/>
      </c>
      <c r="P21" s="43" t="str">
        <f aca="false">IF(AND(P$3&gt;=$E21,P$3&lt;=$F21),1,"")</f>
        <v/>
      </c>
      <c r="Q21" s="43" t="str">
        <f aca="false">IF(AND(Q$3&gt;=$E21,Q$3&lt;=$F21),1,"")</f>
        <v/>
      </c>
      <c r="R21" s="43" t="str">
        <f aca="false">IF(AND(R$3&gt;=$E21,R$3&lt;=$F21),1,"")</f>
        <v/>
      </c>
      <c r="S21" s="43" t="str">
        <f aca="false">IF(AND(S$3&gt;=$E21,S$3&lt;=$F21),1,"")</f>
        <v/>
      </c>
      <c r="T21" s="43" t="str">
        <f aca="false">IF(AND(T$3&gt;=$E21,T$3&lt;=$F21),1,"")</f>
        <v/>
      </c>
      <c r="U21" s="43" t="str">
        <f aca="false">IF(AND(U$3&gt;=$E21,U$3&lt;=$F21),1,"")</f>
        <v/>
      </c>
      <c r="V21" s="43" t="str">
        <f aca="false">IF(AND(V$3&gt;=$E21,V$3&lt;=$F21),1,"")</f>
        <v/>
      </c>
      <c r="W21" s="43" t="str">
        <f aca="false">IF(AND(W$3&gt;=$E21,W$3&lt;=$F21),1,"")</f>
        <v/>
      </c>
      <c r="X21" s="43" t="str">
        <f aca="false">IF(AND(X$3&gt;=$E21,X$3&lt;=$F21),1,"")</f>
        <v/>
      </c>
      <c r="Y21" s="43" t="str">
        <f aca="false">IF(AND(Y$3&gt;=$E21,Y$3&lt;=$F21),1,"")</f>
        <v/>
      </c>
      <c r="Z21" s="43" t="str">
        <f aca="false">IF(AND(Z$3&gt;=$E21,Z$3&lt;=$F21),1,"")</f>
        <v/>
      </c>
    </row>
    <row r="22" customFormat="false" ht="15" hidden="false" customHeight="false" outlineLevel="0" collapsed="false">
      <c r="A22" s="42" t="str">
        <f aca="false">Roadmap!A22</f>
        <v>1.05</v>
      </c>
      <c r="B22" s="42" t="str">
        <f aca="false">Roadmap!B22</f>
        <v>P1 Set up</v>
      </c>
      <c r="C22" s="28" t="str">
        <f aca="false">Roadmap!D22</f>
        <v>Lease a physical office or serviced desk and register Ejari</v>
      </c>
      <c r="D22" s="28" t="str">
        <f aca="false">Roadmap!G22</f>
        <v>Founder &amp; CEO</v>
      </c>
      <c r="E22" s="42" t="n">
        <f aca="false">Roadmap!I22</f>
        <v>3</v>
      </c>
      <c r="F22" s="42" t="n">
        <f aca="false">Roadmap!K22</f>
        <v>4</v>
      </c>
      <c r="G22" s="43" t="str">
        <f aca="false">IF(AND(G$3&gt;=$E22,G$3&lt;=$F22),1,"")</f>
        <v/>
      </c>
      <c r="H22" s="43" t="str">
        <f aca="false">IF(AND(H$3&gt;=$E22,H$3&lt;=$F22),1,"")</f>
        <v/>
      </c>
      <c r="I22" s="43" t="n">
        <f aca="false">IF(AND(I$3&gt;=$E22,I$3&lt;=$F22),1,"")</f>
        <v>1</v>
      </c>
      <c r="J22" s="43" t="n">
        <f aca="false">IF(AND(J$3&gt;=$E22,J$3&lt;=$F22),1,"")</f>
        <v>1</v>
      </c>
      <c r="K22" s="43" t="str">
        <f aca="false">IF(AND(K$3&gt;=$E22,K$3&lt;=$F22),1,"")</f>
        <v/>
      </c>
      <c r="L22" s="43" t="str">
        <f aca="false">IF(AND(L$3&gt;=$E22,L$3&lt;=$F22),1,"")</f>
        <v/>
      </c>
      <c r="M22" s="43" t="str">
        <f aca="false">IF(AND(M$3&gt;=$E22,M$3&lt;=$F22),1,"")</f>
        <v/>
      </c>
      <c r="N22" s="43" t="str">
        <f aca="false">IF(AND(N$3&gt;=$E22,N$3&lt;=$F22),1,"")</f>
        <v/>
      </c>
      <c r="O22" s="43" t="str">
        <f aca="false">IF(AND(O$3&gt;=$E22,O$3&lt;=$F22),1,"")</f>
        <v/>
      </c>
      <c r="P22" s="43" t="str">
        <f aca="false">IF(AND(P$3&gt;=$E22,P$3&lt;=$F22),1,"")</f>
        <v/>
      </c>
      <c r="Q22" s="43" t="str">
        <f aca="false">IF(AND(Q$3&gt;=$E22,Q$3&lt;=$F22),1,"")</f>
        <v/>
      </c>
      <c r="R22" s="43" t="str">
        <f aca="false">IF(AND(R$3&gt;=$E22,R$3&lt;=$F22),1,"")</f>
        <v/>
      </c>
      <c r="S22" s="43" t="str">
        <f aca="false">IF(AND(S$3&gt;=$E22,S$3&lt;=$F22),1,"")</f>
        <v/>
      </c>
      <c r="T22" s="43" t="str">
        <f aca="false">IF(AND(T$3&gt;=$E22,T$3&lt;=$F22),1,"")</f>
        <v/>
      </c>
      <c r="U22" s="43" t="str">
        <f aca="false">IF(AND(U$3&gt;=$E22,U$3&lt;=$F22),1,"")</f>
        <v/>
      </c>
      <c r="V22" s="43" t="str">
        <f aca="false">IF(AND(V$3&gt;=$E22,V$3&lt;=$F22),1,"")</f>
        <v/>
      </c>
      <c r="W22" s="43" t="str">
        <f aca="false">IF(AND(W$3&gt;=$E22,W$3&lt;=$F22),1,"")</f>
        <v/>
      </c>
      <c r="X22" s="43" t="str">
        <f aca="false">IF(AND(X$3&gt;=$E22,X$3&lt;=$F22),1,"")</f>
        <v/>
      </c>
      <c r="Y22" s="43" t="str">
        <f aca="false">IF(AND(Y$3&gt;=$E22,Y$3&lt;=$F22),1,"")</f>
        <v/>
      </c>
      <c r="Z22" s="43" t="str">
        <f aca="false">IF(AND(Z$3&gt;=$E22,Z$3&lt;=$F22),1,"")</f>
        <v/>
      </c>
    </row>
    <row r="23" customFormat="false" ht="15" hidden="false" customHeight="false" outlineLevel="0" collapsed="false">
      <c r="A23" s="42" t="str">
        <f aca="false">Roadmap!A23</f>
        <v>1.06</v>
      </c>
      <c r="B23" s="42" t="str">
        <f aca="false">Roadmap!B23</f>
        <v>P1 Set up</v>
      </c>
      <c r="C23" s="28" t="str">
        <f aca="false">Roadmap!D23</f>
        <v>Issue DET trade licence (real estate brokerage activity)</v>
      </c>
      <c r="D23" s="28" t="str">
        <f aca="false">Roadmap!G23</f>
        <v>Business Setup Consultant / PRO</v>
      </c>
      <c r="E23" s="42" t="n">
        <f aca="false">Roadmap!I23</f>
        <v>4</v>
      </c>
      <c r="F23" s="42" t="n">
        <f aca="false">Roadmap!K23</f>
        <v>5</v>
      </c>
      <c r="G23" s="43" t="str">
        <f aca="false">IF(AND(G$3&gt;=$E23,G$3&lt;=$F23),1,"")</f>
        <v/>
      </c>
      <c r="H23" s="43" t="str">
        <f aca="false">IF(AND(H$3&gt;=$E23,H$3&lt;=$F23),1,"")</f>
        <v/>
      </c>
      <c r="I23" s="43" t="str">
        <f aca="false">IF(AND(I$3&gt;=$E23,I$3&lt;=$F23),1,"")</f>
        <v/>
      </c>
      <c r="J23" s="43" t="n">
        <f aca="false">IF(AND(J$3&gt;=$E23,J$3&lt;=$F23),1,"")</f>
        <v>1</v>
      </c>
      <c r="K23" s="43" t="n">
        <f aca="false">IF(AND(K$3&gt;=$E23,K$3&lt;=$F23),1,"")</f>
        <v>1</v>
      </c>
      <c r="L23" s="43" t="str">
        <f aca="false">IF(AND(L$3&gt;=$E23,L$3&lt;=$F23),1,"")</f>
        <v/>
      </c>
      <c r="M23" s="43" t="str">
        <f aca="false">IF(AND(M$3&gt;=$E23,M$3&lt;=$F23),1,"")</f>
        <v/>
      </c>
      <c r="N23" s="43" t="str">
        <f aca="false">IF(AND(N$3&gt;=$E23,N$3&lt;=$F23),1,"")</f>
        <v/>
      </c>
      <c r="O23" s="43" t="str">
        <f aca="false">IF(AND(O$3&gt;=$E23,O$3&lt;=$F23),1,"")</f>
        <v/>
      </c>
      <c r="P23" s="43" t="str">
        <f aca="false">IF(AND(P$3&gt;=$E23,P$3&lt;=$F23),1,"")</f>
        <v/>
      </c>
      <c r="Q23" s="43" t="str">
        <f aca="false">IF(AND(Q$3&gt;=$E23,Q$3&lt;=$F23),1,"")</f>
        <v/>
      </c>
      <c r="R23" s="43" t="str">
        <f aca="false">IF(AND(R$3&gt;=$E23,R$3&lt;=$F23),1,"")</f>
        <v/>
      </c>
      <c r="S23" s="43" t="str">
        <f aca="false">IF(AND(S$3&gt;=$E23,S$3&lt;=$F23),1,"")</f>
        <v/>
      </c>
      <c r="T23" s="43" t="str">
        <f aca="false">IF(AND(T$3&gt;=$E23,T$3&lt;=$F23),1,"")</f>
        <v/>
      </c>
      <c r="U23" s="43" t="str">
        <f aca="false">IF(AND(U$3&gt;=$E23,U$3&lt;=$F23),1,"")</f>
        <v/>
      </c>
      <c r="V23" s="43" t="str">
        <f aca="false">IF(AND(V$3&gt;=$E23,V$3&lt;=$F23),1,"")</f>
        <v/>
      </c>
      <c r="W23" s="43" t="str">
        <f aca="false">IF(AND(W$3&gt;=$E23,W$3&lt;=$F23),1,"")</f>
        <v/>
      </c>
      <c r="X23" s="43" t="str">
        <f aca="false">IF(AND(X$3&gt;=$E23,X$3&lt;=$F23),1,"")</f>
        <v/>
      </c>
      <c r="Y23" s="43" t="str">
        <f aca="false">IF(AND(Y$3&gt;=$E23,Y$3&lt;=$F23),1,"")</f>
        <v/>
      </c>
      <c r="Z23" s="43" t="str">
        <f aca="false">IF(AND(Z$3&gt;=$E23,Z$3&lt;=$F23),1,"")</f>
        <v/>
      </c>
    </row>
    <row r="24" customFormat="false" ht="15" hidden="false" customHeight="false" outlineLevel="0" collapsed="false">
      <c r="A24" s="42" t="str">
        <f aca="false">Roadmap!A24</f>
        <v>1.07</v>
      </c>
      <c r="B24" s="42" t="str">
        <f aca="false">Roadmap!B24</f>
        <v>P1 Set up</v>
      </c>
      <c r="C24" s="28" t="str">
        <f aca="false">Roadmap!D24</f>
        <v>Open corporate bank account and deposit share capital</v>
      </c>
      <c r="D24" s="28" t="str">
        <f aca="false">Roadmap!G24</f>
        <v>Fractional CFO</v>
      </c>
      <c r="E24" s="42" t="n">
        <f aca="false">Roadmap!I24</f>
        <v>5</v>
      </c>
      <c r="F24" s="42" t="n">
        <f aca="false">Roadmap!K24</f>
        <v>6</v>
      </c>
      <c r="G24" s="43" t="str">
        <f aca="false">IF(AND(G$3&gt;=$E24,G$3&lt;=$F24),1,"")</f>
        <v/>
      </c>
      <c r="H24" s="43" t="str">
        <f aca="false">IF(AND(H$3&gt;=$E24,H$3&lt;=$F24),1,"")</f>
        <v/>
      </c>
      <c r="I24" s="43" t="str">
        <f aca="false">IF(AND(I$3&gt;=$E24,I$3&lt;=$F24),1,"")</f>
        <v/>
      </c>
      <c r="J24" s="43" t="str">
        <f aca="false">IF(AND(J$3&gt;=$E24,J$3&lt;=$F24),1,"")</f>
        <v/>
      </c>
      <c r="K24" s="43" t="n">
        <f aca="false">IF(AND(K$3&gt;=$E24,K$3&lt;=$F24),1,"")</f>
        <v>1</v>
      </c>
      <c r="L24" s="43" t="n">
        <f aca="false">IF(AND(L$3&gt;=$E24,L$3&lt;=$F24),1,"")</f>
        <v>1</v>
      </c>
      <c r="M24" s="43" t="str">
        <f aca="false">IF(AND(M$3&gt;=$E24,M$3&lt;=$F24),1,"")</f>
        <v/>
      </c>
      <c r="N24" s="43" t="str">
        <f aca="false">IF(AND(N$3&gt;=$E24,N$3&lt;=$F24),1,"")</f>
        <v/>
      </c>
      <c r="O24" s="43" t="str">
        <f aca="false">IF(AND(O$3&gt;=$E24,O$3&lt;=$F24),1,"")</f>
        <v/>
      </c>
      <c r="P24" s="43" t="str">
        <f aca="false">IF(AND(P$3&gt;=$E24,P$3&lt;=$F24),1,"")</f>
        <v/>
      </c>
      <c r="Q24" s="43" t="str">
        <f aca="false">IF(AND(Q$3&gt;=$E24,Q$3&lt;=$F24),1,"")</f>
        <v/>
      </c>
      <c r="R24" s="43" t="str">
        <f aca="false">IF(AND(R$3&gt;=$E24,R$3&lt;=$F24),1,"")</f>
        <v/>
      </c>
      <c r="S24" s="43" t="str">
        <f aca="false">IF(AND(S$3&gt;=$E24,S$3&lt;=$F24),1,"")</f>
        <v/>
      </c>
      <c r="T24" s="43" t="str">
        <f aca="false">IF(AND(T$3&gt;=$E24,T$3&lt;=$F24),1,"")</f>
        <v/>
      </c>
      <c r="U24" s="43" t="str">
        <f aca="false">IF(AND(U$3&gt;=$E24,U$3&lt;=$F24),1,"")</f>
        <v/>
      </c>
      <c r="V24" s="43" t="str">
        <f aca="false">IF(AND(V$3&gt;=$E24,V$3&lt;=$F24),1,"")</f>
        <v/>
      </c>
      <c r="W24" s="43" t="str">
        <f aca="false">IF(AND(W$3&gt;=$E24,W$3&lt;=$F24),1,"")</f>
        <v/>
      </c>
      <c r="X24" s="43" t="str">
        <f aca="false">IF(AND(X$3&gt;=$E24,X$3&lt;=$F24),1,"")</f>
        <v/>
      </c>
      <c r="Y24" s="43" t="str">
        <f aca="false">IF(AND(Y$3&gt;=$E24,Y$3&lt;=$F24),1,"")</f>
        <v/>
      </c>
      <c r="Z24" s="43" t="str">
        <f aca="false">IF(AND(Z$3&gt;=$E24,Z$3&lt;=$F24),1,"")</f>
        <v/>
      </c>
    </row>
    <row r="25" customFormat="false" ht="15" hidden="false" customHeight="false" outlineLevel="0" collapsed="false">
      <c r="A25" s="42" t="str">
        <f aca="false">Roadmap!A25</f>
        <v>1.08</v>
      </c>
      <c r="B25" s="42" t="str">
        <f aca="false">Roadmap!B25</f>
        <v>P1 Set up</v>
      </c>
      <c r="C25" s="28" t="str">
        <f aca="false">Roadmap!D25</f>
        <v>Register the brokerage with RERA / DLD (Trakheesi)</v>
      </c>
      <c r="D25" s="28" t="str">
        <f aca="false">Roadmap!G25</f>
        <v>Broker-Manager (Head of Brokerage)</v>
      </c>
      <c r="E25" s="42" t="n">
        <f aca="false">Roadmap!I25</f>
        <v>5</v>
      </c>
      <c r="F25" s="42" t="n">
        <f aca="false">Roadmap!K25</f>
        <v>6</v>
      </c>
      <c r="G25" s="43" t="str">
        <f aca="false">IF(AND(G$3&gt;=$E25,G$3&lt;=$F25),1,"")</f>
        <v/>
      </c>
      <c r="H25" s="43" t="str">
        <f aca="false">IF(AND(H$3&gt;=$E25,H$3&lt;=$F25),1,"")</f>
        <v/>
      </c>
      <c r="I25" s="43" t="str">
        <f aca="false">IF(AND(I$3&gt;=$E25,I$3&lt;=$F25),1,"")</f>
        <v/>
      </c>
      <c r="J25" s="43" t="str">
        <f aca="false">IF(AND(J$3&gt;=$E25,J$3&lt;=$F25),1,"")</f>
        <v/>
      </c>
      <c r="K25" s="43" t="n">
        <f aca="false">IF(AND(K$3&gt;=$E25,K$3&lt;=$F25),1,"")</f>
        <v>1</v>
      </c>
      <c r="L25" s="43" t="n">
        <f aca="false">IF(AND(L$3&gt;=$E25,L$3&lt;=$F25),1,"")</f>
        <v>1</v>
      </c>
      <c r="M25" s="43" t="str">
        <f aca="false">IF(AND(M$3&gt;=$E25,M$3&lt;=$F25),1,"")</f>
        <v/>
      </c>
      <c r="N25" s="43" t="str">
        <f aca="false">IF(AND(N$3&gt;=$E25,N$3&lt;=$F25),1,"")</f>
        <v/>
      </c>
      <c r="O25" s="43" t="str">
        <f aca="false">IF(AND(O$3&gt;=$E25,O$3&lt;=$F25),1,"")</f>
        <v/>
      </c>
      <c r="P25" s="43" t="str">
        <f aca="false">IF(AND(P$3&gt;=$E25,P$3&lt;=$F25),1,"")</f>
        <v/>
      </c>
      <c r="Q25" s="43" t="str">
        <f aca="false">IF(AND(Q$3&gt;=$E25,Q$3&lt;=$F25),1,"")</f>
        <v/>
      </c>
      <c r="R25" s="43" t="str">
        <f aca="false">IF(AND(R$3&gt;=$E25,R$3&lt;=$F25),1,"")</f>
        <v/>
      </c>
      <c r="S25" s="43" t="str">
        <f aca="false">IF(AND(S$3&gt;=$E25,S$3&lt;=$F25),1,"")</f>
        <v/>
      </c>
      <c r="T25" s="43" t="str">
        <f aca="false">IF(AND(T$3&gt;=$E25,T$3&lt;=$F25),1,"")</f>
        <v/>
      </c>
      <c r="U25" s="43" t="str">
        <f aca="false">IF(AND(U$3&gt;=$E25,U$3&lt;=$F25),1,"")</f>
        <v/>
      </c>
      <c r="V25" s="43" t="str">
        <f aca="false">IF(AND(V$3&gt;=$E25,V$3&lt;=$F25),1,"")</f>
        <v/>
      </c>
      <c r="W25" s="43" t="str">
        <f aca="false">IF(AND(W$3&gt;=$E25,W$3&lt;=$F25),1,"")</f>
        <v/>
      </c>
      <c r="X25" s="43" t="str">
        <f aca="false">IF(AND(X$3&gt;=$E25,X$3&lt;=$F25),1,"")</f>
        <v/>
      </c>
      <c r="Y25" s="43" t="str">
        <f aca="false">IF(AND(Y$3&gt;=$E25,Y$3&lt;=$F25),1,"")</f>
        <v/>
      </c>
      <c r="Z25" s="43" t="str">
        <f aca="false">IF(AND(Z$3&gt;=$E25,Z$3&lt;=$F25),1,"")</f>
        <v/>
      </c>
    </row>
    <row r="26" customFormat="false" ht="15" hidden="false" customHeight="false" outlineLevel="0" collapsed="false">
      <c r="A26" s="42" t="str">
        <f aca="false">Roadmap!A26</f>
        <v>1.09</v>
      </c>
      <c r="B26" s="42" t="str">
        <f aca="false">Roadmap!B26</f>
        <v>P1 Set up</v>
      </c>
      <c r="C26" s="28" t="str">
        <f aca="false">Roadmap!D26</f>
        <v>Issue broker cards for the manager and pilot agents</v>
      </c>
      <c r="D26" s="28" t="str">
        <f aca="false">Roadmap!G26</f>
        <v>Broker-Manager (Head of Brokerage)</v>
      </c>
      <c r="E26" s="42" t="n">
        <f aca="false">Roadmap!I26</f>
        <v>5</v>
      </c>
      <c r="F26" s="42" t="n">
        <f aca="false">Roadmap!K26</f>
        <v>6</v>
      </c>
      <c r="G26" s="43" t="str">
        <f aca="false">IF(AND(G$3&gt;=$E26,G$3&lt;=$F26),1,"")</f>
        <v/>
      </c>
      <c r="H26" s="43" t="str">
        <f aca="false">IF(AND(H$3&gt;=$E26,H$3&lt;=$F26),1,"")</f>
        <v/>
      </c>
      <c r="I26" s="43" t="str">
        <f aca="false">IF(AND(I$3&gt;=$E26,I$3&lt;=$F26),1,"")</f>
        <v/>
      </c>
      <c r="J26" s="43" t="str">
        <f aca="false">IF(AND(J$3&gt;=$E26,J$3&lt;=$F26),1,"")</f>
        <v/>
      </c>
      <c r="K26" s="43" t="n">
        <f aca="false">IF(AND(K$3&gt;=$E26,K$3&lt;=$F26),1,"")</f>
        <v>1</v>
      </c>
      <c r="L26" s="43" t="n">
        <f aca="false">IF(AND(L$3&gt;=$E26,L$3&lt;=$F26),1,"")</f>
        <v>1</v>
      </c>
      <c r="M26" s="43" t="str">
        <f aca="false">IF(AND(M$3&gt;=$E26,M$3&lt;=$F26),1,"")</f>
        <v/>
      </c>
      <c r="N26" s="43" t="str">
        <f aca="false">IF(AND(N$3&gt;=$E26,N$3&lt;=$F26),1,"")</f>
        <v/>
      </c>
      <c r="O26" s="43" t="str">
        <f aca="false">IF(AND(O$3&gt;=$E26,O$3&lt;=$F26),1,"")</f>
        <v/>
      </c>
      <c r="P26" s="43" t="str">
        <f aca="false">IF(AND(P$3&gt;=$E26,P$3&lt;=$F26),1,"")</f>
        <v/>
      </c>
      <c r="Q26" s="43" t="str">
        <f aca="false">IF(AND(Q$3&gt;=$E26,Q$3&lt;=$F26),1,"")</f>
        <v/>
      </c>
      <c r="R26" s="43" t="str">
        <f aca="false">IF(AND(R$3&gt;=$E26,R$3&lt;=$F26),1,"")</f>
        <v/>
      </c>
      <c r="S26" s="43" t="str">
        <f aca="false">IF(AND(S$3&gt;=$E26,S$3&lt;=$F26),1,"")</f>
        <v/>
      </c>
      <c r="T26" s="43" t="str">
        <f aca="false">IF(AND(T$3&gt;=$E26,T$3&lt;=$F26),1,"")</f>
        <v/>
      </c>
      <c r="U26" s="43" t="str">
        <f aca="false">IF(AND(U$3&gt;=$E26,U$3&lt;=$F26),1,"")</f>
        <v/>
      </c>
      <c r="V26" s="43" t="str">
        <f aca="false">IF(AND(V$3&gt;=$E26,V$3&lt;=$F26),1,"")</f>
        <v/>
      </c>
      <c r="W26" s="43" t="str">
        <f aca="false">IF(AND(W$3&gt;=$E26,W$3&lt;=$F26),1,"")</f>
        <v/>
      </c>
      <c r="X26" s="43" t="str">
        <f aca="false">IF(AND(X$3&gt;=$E26,X$3&lt;=$F26),1,"")</f>
        <v/>
      </c>
      <c r="Y26" s="43" t="str">
        <f aca="false">IF(AND(Y$3&gt;=$E26,Y$3&lt;=$F26),1,"")</f>
        <v/>
      </c>
      <c r="Z26" s="43" t="str">
        <f aca="false">IF(AND(Z$3&gt;=$E26,Z$3&lt;=$F26),1,"")</f>
        <v/>
      </c>
    </row>
    <row r="27" customFormat="false" ht="23.85" hidden="false" customHeight="false" outlineLevel="0" collapsed="false">
      <c r="A27" s="42" t="str">
        <f aca="false">Roadmap!A27</f>
        <v>1.10</v>
      </c>
      <c r="B27" s="42" t="str">
        <f aca="false">Roadmap!B27</f>
        <v>P1 Set up</v>
      </c>
      <c r="C27" s="28" t="str">
        <f aca="false">Roadmap!D27</f>
        <v>Register on goAML, appoint compliance officer, write AML/KYC policy</v>
      </c>
      <c r="D27" s="28" t="str">
        <f aca="false">Roadmap!G27</f>
        <v>Compliance &amp; AML Officer</v>
      </c>
      <c r="E27" s="42" t="n">
        <f aca="false">Roadmap!I27</f>
        <v>5</v>
      </c>
      <c r="F27" s="42" t="n">
        <f aca="false">Roadmap!K27</f>
        <v>7</v>
      </c>
      <c r="G27" s="43" t="str">
        <f aca="false">IF(AND(G$3&gt;=$E27,G$3&lt;=$F27),1,"")</f>
        <v/>
      </c>
      <c r="H27" s="43" t="str">
        <f aca="false">IF(AND(H$3&gt;=$E27,H$3&lt;=$F27),1,"")</f>
        <v/>
      </c>
      <c r="I27" s="43" t="str">
        <f aca="false">IF(AND(I$3&gt;=$E27,I$3&lt;=$F27),1,"")</f>
        <v/>
      </c>
      <c r="J27" s="43" t="str">
        <f aca="false">IF(AND(J$3&gt;=$E27,J$3&lt;=$F27),1,"")</f>
        <v/>
      </c>
      <c r="K27" s="43" t="n">
        <f aca="false">IF(AND(K$3&gt;=$E27,K$3&lt;=$F27),1,"")</f>
        <v>1</v>
      </c>
      <c r="L27" s="43" t="n">
        <f aca="false">IF(AND(L$3&gt;=$E27,L$3&lt;=$F27),1,"")</f>
        <v>1</v>
      </c>
      <c r="M27" s="43" t="n">
        <f aca="false">IF(AND(M$3&gt;=$E27,M$3&lt;=$F27),1,"")</f>
        <v>1</v>
      </c>
      <c r="N27" s="43" t="str">
        <f aca="false">IF(AND(N$3&gt;=$E27,N$3&lt;=$F27),1,"")</f>
        <v/>
      </c>
      <c r="O27" s="43" t="str">
        <f aca="false">IF(AND(O$3&gt;=$E27,O$3&lt;=$F27),1,"")</f>
        <v/>
      </c>
      <c r="P27" s="43" t="str">
        <f aca="false">IF(AND(P$3&gt;=$E27,P$3&lt;=$F27),1,"")</f>
        <v/>
      </c>
      <c r="Q27" s="43" t="str">
        <f aca="false">IF(AND(Q$3&gt;=$E27,Q$3&lt;=$F27),1,"")</f>
        <v/>
      </c>
      <c r="R27" s="43" t="str">
        <f aca="false">IF(AND(R$3&gt;=$E27,R$3&lt;=$F27),1,"")</f>
        <v/>
      </c>
      <c r="S27" s="43" t="str">
        <f aca="false">IF(AND(S$3&gt;=$E27,S$3&lt;=$F27),1,"")</f>
        <v/>
      </c>
      <c r="T27" s="43" t="str">
        <f aca="false">IF(AND(T$3&gt;=$E27,T$3&lt;=$F27),1,"")</f>
        <v/>
      </c>
      <c r="U27" s="43" t="str">
        <f aca="false">IF(AND(U$3&gt;=$E27,U$3&lt;=$F27),1,"")</f>
        <v/>
      </c>
      <c r="V27" s="43" t="str">
        <f aca="false">IF(AND(V$3&gt;=$E27,V$3&lt;=$F27),1,"")</f>
        <v/>
      </c>
      <c r="W27" s="43" t="str">
        <f aca="false">IF(AND(W$3&gt;=$E27,W$3&lt;=$F27),1,"")</f>
        <v/>
      </c>
      <c r="X27" s="43" t="str">
        <f aca="false">IF(AND(X$3&gt;=$E27,X$3&lt;=$F27),1,"")</f>
        <v/>
      </c>
      <c r="Y27" s="43" t="str">
        <f aca="false">IF(AND(Y$3&gt;=$E27,Y$3&lt;=$F27),1,"")</f>
        <v/>
      </c>
      <c r="Z27" s="43" t="str">
        <f aca="false">IF(AND(Z$3&gt;=$E27,Z$3&lt;=$F27),1,"")</f>
        <v/>
      </c>
    </row>
    <row r="28" customFormat="false" ht="23.85" hidden="false" customHeight="false" outlineLevel="0" collapsed="false">
      <c r="A28" s="42" t="str">
        <f aca="false">Roadmap!A28</f>
        <v>1.11</v>
      </c>
      <c r="B28" s="42" t="str">
        <f aca="false">Roadmap!B28</f>
        <v>P1 Set up</v>
      </c>
      <c r="C28" s="28" t="str">
        <f aca="false">Roadmap!D28</f>
        <v>Policies and templates: Forms A/B, commission agreements, T&amp;Cs, privacy, complaints</v>
      </c>
      <c r="D28" s="28" t="str">
        <f aca="false">Roadmap!G28</f>
        <v>Legal Counsel</v>
      </c>
      <c r="E28" s="42" t="n">
        <f aca="false">Roadmap!I28</f>
        <v>5</v>
      </c>
      <c r="F28" s="42" t="n">
        <f aca="false">Roadmap!K28</f>
        <v>7</v>
      </c>
      <c r="G28" s="43" t="str">
        <f aca="false">IF(AND(G$3&gt;=$E28,G$3&lt;=$F28),1,"")</f>
        <v/>
      </c>
      <c r="H28" s="43" t="str">
        <f aca="false">IF(AND(H$3&gt;=$E28,H$3&lt;=$F28),1,"")</f>
        <v/>
      </c>
      <c r="I28" s="43" t="str">
        <f aca="false">IF(AND(I$3&gt;=$E28,I$3&lt;=$F28),1,"")</f>
        <v/>
      </c>
      <c r="J28" s="43" t="str">
        <f aca="false">IF(AND(J$3&gt;=$E28,J$3&lt;=$F28),1,"")</f>
        <v/>
      </c>
      <c r="K28" s="43" t="n">
        <f aca="false">IF(AND(K$3&gt;=$E28,K$3&lt;=$F28),1,"")</f>
        <v>1</v>
      </c>
      <c r="L28" s="43" t="n">
        <f aca="false">IF(AND(L$3&gt;=$E28,L$3&lt;=$F28),1,"")</f>
        <v>1</v>
      </c>
      <c r="M28" s="43" t="n">
        <f aca="false">IF(AND(M$3&gt;=$E28,M$3&lt;=$F28),1,"")</f>
        <v>1</v>
      </c>
      <c r="N28" s="43" t="str">
        <f aca="false">IF(AND(N$3&gt;=$E28,N$3&lt;=$F28),1,"")</f>
        <v/>
      </c>
      <c r="O28" s="43" t="str">
        <f aca="false">IF(AND(O$3&gt;=$E28,O$3&lt;=$F28),1,"")</f>
        <v/>
      </c>
      <c r="P28" s="43" t="str">
        <f aca="false">IF(AND(P$3&gt;=$E28,P$3&lt;=$F28),1,"")</f>
        <v/>
      </c>
      <c r="Q28" s="43" t="str">
        <f aca="false">IF(AND(Q$3&gt;=$E28,Q$3&lt;=$F28),1,"")</f>
        <v/>
      </c>
      <c r="R28" s="43" t="str">
        <f aca="false">IF(AND(R$3&gt;=$E28,R$3&lt;=$F28),1,"")</f>
        <v/>
      </c>
      <c r="S28" s="43" t="str">
        <f aca="false">IF(AND(S$3&gt;=$E28,S$3&lt;=$F28),1,"")</f>
        <v/>
      </c>
      <c r="T28" s="43" t="str">
        <f aca="false">IF(AND(T$3&gt;=$E28,T$3&lt;=$F28),1,"")</f>
        <v/>
      </c>
      <c r="U28" s="43" t="str">
        <f aca="false">IF(AND(U$3&gt;=$E28,U$3&lt;=$F28),1,"")</f>
        <v/>
      </c>
      <c r="V28" s="43" t="str">
        <f aca="false">IF(AND(V$3&gt;=$E28,V$3&lt;=$F28),1,"")</f>
        <v/>
      </c>
      <c r="W28" s="43" t="str">
        <f aca="false">IF(AND(W$3&gt;=$E28,W$3&lt;=$F28),1,"")</f>
        <v/>
      </c>
      <c r="X28" s="43" t="str">
        <f aca="false">IF(AND(X$3&gt;=$E28,X$3&lt;=$F28),1,"")</f>
        <v/>
      </c>
      <c r="Y28" s="43" t="str">
        <f aca="false">IF(AND(Y$3&gt;=$E28,Y$3&lt;=$F28),1,"")</f>
        <v/>
      </c>
      <c r="Z28" s="43" t="str">
        <f aca="false">IF(AND(Z$3&gt;=$E28,Z$3&lt;=$F28),1,"")</f>
        <v/>
      </c>
    </row>
    <row r="29" customFormat="false" ht="15" hidden="false" customHeight="false" outlineLevel="0" collapsed="false">
      <c r="A29" s="42" t="str">
        <f aca="false">Roadmap!A29</f>
        <v>1.12</v>
      </c>
      <c r="B29" s="42" t="str">
        <f aca="false">Roadmap!B29</f>
        <v>P1 Set up</v>
      </c>
      <c r="C29" s="28" t="str">
        <f aca="false">Roadmap!D29</f>
        <v>Professional indemnity and trade insurance</v>
      </c>
      <c r="D29" s="28" t="str">
        <f aca="false">Roadmap!G29</f>
        <v>Fractional CFO</v>
      </c>
      <c r="E29" s="42" t="n">
        <f aca="false">Roadmap!I29</f>
        <v>6</v>
      </c>
      <c r="F29" s="42" t="n">
        <f aca="false">Roadmap!K29</f>
        <v>7</v>
      </c>
      <c r="G29" s="43" t="str">
        <f aca="false">IF(AND(G$3&gt;=$E29,G$3&lt;=$F29),1,"")</f>
        <v/>
      </c>
      <c r="H29" s="43" t="str">
        <f aca="false">IF(AND(H$3&gt;=$E29,H$3&lt;=$F29),1,"")</f>
        <v/>
      </c>
      <c r="I29" s="43" t="str">
        <f aca="false">IF(AND(I$3&gt;=$E29,I$3&lt;=$F29),1,"")</f>
        <v/>
      </c>
      <c r="J29" s="43" t="str">
        <f aca="false">IF(AND(J$3&gt;=$E29,J$3&lt;=$F29),1,"")</f>
        <v/>
      </c>
      <c r="K29" s="43" t="str">
        <f aca="false">IF(AND(K$3&gt;=$E29,K$3&lt;=$F29),1,"")</f>
        <v/>
      </c>
      <c r="L29" s="43" t="n">
        <f aca="false">IF(AND(L$3&gt;=$E29,L$3&lt;=$F29),1,"")</f>
        <v>1</v>
      </c>
      <c r="M29" s="43" t="n">
        <f aca="false">IF(AND(M$3&gt;=$E29,M$3&lt;=$F29),1,"")</f>
        <v>1</v>
      </c>
      <c r="N29" s="43" t="str">
        <f aca="false">IF(AND(N$3&gt;=$E29,N$3&lt;=$F29),1,"")</f>
        <v/>
      </c>
      <c r="O29" s="43" t="str">
        <f aca="false">IF(AND(O$3&gt;=$E29,O$3&lt;=$F29),1,"")</f>
        <v/>
      </c>
      <c r="P29" s="43" t="str">
        <f aca="false">IF(AND(P$3&gt;=$E29,P$3&lt;=$F29),1,"")</f>
        <v/>
      </c>
      <c r="Q29" s="43" t="str">
        <f aca="false">IF(AND(Q$3&gt;=$E29,Q$3&lt;=$F29),1,"")</f>
        <v/>
      </c>
      <c r="R29" s="43" t="str">
        <f aca="false">IF(AND(R$3&gt;=$E29,R$3&lt;=$F29),1,"")</f>
        <v/>
      </c>
      <c r="S29" s="43" t="str">
        <f aca="false">IF(AND(S$3&gt;=$E29,S$3&lt;=$F29),1,"")</f>
        <v/>
      </c>
      <c r="T29" s="43" t="str">
        <f aca="false">IF(AND(T$3&gt;=$E29,T$3&lt;=$F29),1,"")</f>
        <v/>
      </c>
      <c r="U29" s="43" t="str">
        <f aca="false">IF(AND(U$3&gt;=$E29,U$3&lt;=$F29),1,"")</f>
        <v/>
      </c>
      <c r="V29" s="43" t="str">
        <f aca="false">IF(AND(V$3&gt;=$E29,V$3&lt;=$F29),1,"")</f>
        <v/>
      </c>
      <c r="W29" s="43" t="str">
        <f aca="false">IF(AND(W$3&gt;=$E29,W$3&lt;=$F29),1,"")</f>
        <v/>
      </c>
      <c r="X29" s="43" t="str">
        <f aca="false">IF(AND(X$3&gt;=$E29,X$3&lt;=$F29),1,"")</f>
        <v/>
      </c>
      <c r="Y29" s="43" t="str">
        <f aca="false">IF(AND(Y$3&gt;=$E29,Y$3&lt;=$F29),1,"")</f>
        <v/>
      </c>
      <c r="Z29" s="43" t="str">
        <f aca="false">IF(AND(Z$3&gt;=$E29,Z$3&lt;=$F29),1,"")</f>
        <v/>
      </c>
    </row>
    <row r="30" customFormat="false" ht="23.85" hidden="false" customHeight="false" outlineLevel="0" collapsed="false">
      <c r="A30" s="42" t="str">
        <f aca="false">Roadmap!A30</f>
        <v>1.13</v>
      </c>
      <c r="B30" s="42" t="str">
        <f aca="false">Roadmap!B30</f>
        <v>P1 Set up</v>
      </c>
      <c r="C30" s="28" t="str">
        <f aca="false">Roadmap!D30</f>
        <v>Sign developer broker agreements (3-5) and get portal access</v>
      </c>
      <c r="D30" s="28" t="str">
        <f aca="false">Roadmap!G30</f>
        <v>Partnerships Lead (Developers &amp; Supply)</v>
      </c>
      <c r="E30" s="42" t="n">
        <f aca="false">Roadmap!I30</f>
        <v>5</v>
      </c>
      <c r="F30" s="42" t="n">
        <f aca="false">Roadmap!K30</f>
        <v>8</v>
      </c>
      <c r="G30" s="43" t="str">
        <f aca="false">IF(AND(G$3&gt;=$E30,G$3&lt;=$F30),1,"")</f>
        <v/>
      </c>
      <c r="H30" s="43" t="str">
        <f aca="false">IF(AND(H$3&gt;=$E30,H$3&lt;=$F30),1,"")</f>
        <v/>
      </c>
      <c r="I30" s="43" t="str">
        <f aca="false">IF(AND(I$3&gt;=$E30,I$3&lt;=$F30),1,"")</f>
        <v/>
      </c>
      <c r="J30" s="43" t="str">
        <f aca="false">IF(AND(J$3&gt;=$E30,J$3&lt;=$F30),1,"")</f>
        <v/>
      </c>
      <c r="K30" s="43" t="n">
        <f aca="false">IF(AND(K$3&gt;=$E30,K$3&lt;=$F30),1,"")</f>
        <v>1</v>
      </c>
      <c r="L30" s="43" t="n">
        <f aca="false">IF(AND(L$3&gt;=$E30,L$3&lt;=$F30),1,"")</f>
        <v>1</v>
      </c>
      <c r="M30" s="43" t="n">
        <f aca="false">IF(AND(M$3&gt;=$E30,M$3&lt;=$F30),1,"")</f>
        <v>1</v>
      </c>
      <c r="N30" s="43" t="n">
        <f aca="false">IF(AND(N$3&gt;=$E30,N$3&lt;=$F30),1,"")</f>
        <v>1</v>
      </c>
      <c r="O30" s="43" t="str">
        <f aca="false">IF(AND(O$3&gt;=$E30,O$3&lt;=$F30),1,"")</f>
        <v/>
      </c>
      <c r="P30" s="43" t="str">
        <f aca="false">IF(AND(P$3&gt;=$E30,P$3&lt;=$F30),1,"")</f>
        <v/>
      </c>
      <c r="Q30" s="43" t="str">
        <f aca="false">IF(AND(Q$3&gt;=$E30,Q$3&lt;=$F30),1,"")</f>
        <v/>
      </c>
      <c r="R30" s="43" t="str">
        <f aca="false">IF(AND(R$3&gt;=$E30,R$3&lt;=$F30),1,"")</f>
        <v/>
      </c>
      <c r="S30" s="43" t="str">
        <f aca="false">IF(AND(S$3&gt;=$E30,S$3&lt;=$F30),1,"")</f>
        <v/>
      </c>
      <c r="T30" s="43" t="str">
        <f aca="false">IF(AND(T$3&gt;=$E30,T$3&lt;=$F30),1,"")</f>
        <v/>
      </c>
      <c r="U30" s="43" t="str">
        <f aca="false">IF(AND(U$3&gt;=$E30,U$3&lt;=$F30),1,"")</f>
        <v/>
      </c>
      <c r="V30" s="43" t="str">
        <f aca="false">IF(AND(V$3&gt;=$E30,V$3&lt;=$F30),1,"")</f>
        <v/>
      </c>
      <c r="W30" s="43" t="str">
        <f aca="false">IF(AND(W$3&gt;=$E30,W$3&lt;=$F30),1,"")</f>
        <v/>
      </c>
      <c r="X30" s="43" t="str">
        <f aca="false">IF(AND(X$3&gt;=$E30,X$3&lt;=$F30),1,"")</f>
        <v/>
      </c>
      <c r="Y30" s="43" t="str">
        <f aca="false">IF(AND(Y$3&gt;=$E30,Y$3&lt;=$F30),1,"")</f>
        <v/>
      </c>
      <c r="Z30" s="43" t="str">
        <f aca="false">IF(AND(Z$3&gt;=$E30,Z$3&lt;=$F30),1,"")</f>
        <v/>
      </c>
    </row>
    <row r="31" customFormat="false" ht="23.85" hidden="false" customHeight="false" outlineLevel="0" collapsed="false">
      <c r="A31" s="42" t="str">
        <f aca="false">Roadmap!A31</f>
        <v>1.14</v>
      </c>
      <c r="B31" s="42" t="str">
        <f aca="false">Roadmap!B31</f>
        <v>P1 Set up</v>
      </c>
      <c r="C31" s="28" t="str">
        <f aca="false">Roadmap!D31</f>
        <v>Payment flow: route to developer escrow / trustee, brokerage never holds client funds</v>
      </c>
      <c r="D31" s="28" t="str">
        <f aca="false">Roadmap!G31</f>
        <v>Founder &amp; CEO</v>
      </c>
      <c r="E31" s="42" t="n">
        <f aca="false">Roadmap!I31</f>
        <v>6</v>
      </c>
      <c r="F31" s="42" t="n">
        <f aca="false">Roadmap!K31</f>
        <v>7</v>
      </c>
      <c r="G31" s="43" t="str">
        <f aca="false">IF(AND(G$3&gt;=$E31,G$3&lt;=$F31),1,"")</f>
        <v/>
      </c>
      <c r="H31" s="43" t="str">
        <f aca="false">IF(AND(H$3&gt;=$E31,H$3&lt;=$F31),1,"")</f>
        <v/>
      </c>
      <c r="I31" s="43" t="str">
        <f aca="false">IF(AND(I$3&gt;=$E31,I$3&lt;=$F31),1,"")</f>
        <v/>
      </c>
      <c r="J31" s="43" t="str">
        <f aca="false">IF(AND(J$3&gt;=$E31,J$3&lt;=$F31),1,"")</f>
        <v/>
      </c>
      <c r="K31" s="43" t="str">
        <f aca="false">IF(AND(K$3&gt;=$E31,K$3&lt;=$F31),1,"")</f>
        <v/>
      </c>
      <c r="L31" s="43" t="n">
        <f aca="false">IF(AND(L$3&gt;=$E31,L$3&lt;=$F31),1,"")</f>
        <v>1</v>
      </c>
      <c r="M31" s="43" t="n">
        <f aca="false">IF(AND(M$3&gt;=$E31,M$3&lt;=$F31),1,"")</f>
        <v>1</v>
      </c>
      <c r="N31" s="43" t="str">
        <f aca="false">IF(AND(N$3&gt;=$E31,N$3&lt;=$F31),1,"")</f>
        <v/>
      </c>
      <c r="O31" s="43" t="str">
        <f aca="false">IF(AND(O$3&gt;=$E31,O$3&lt;=$F31),1,"")</f>
        <v/>
      </c>
      <c r="P31" s="43" t="str">
        <f aca="false">IF(AND(P$3&gt;=$E31,P$3&lt;=$F31),1,"")</f>
        <v/>
      </c>
      <c r="Q31" s="43" t="str">
        <f aca="false">IF(AND(Q$3&gt;=$E31,Q$3&lt;=$F31),1,"")</f>
        <v/>
      </c>
      <c r="R31" s="43" t="str">
        <f aca="false">IF(AND(R$3&gt;=$E31,R$3&lt;=$F31),1,"")</f>
        <v/>
      </c>
      <c r="S31" s="43" t="str">
        <f aca="false">IF(AND(S$3&gt;=$E31,S$3&lt;=$F31),1,"")</f>
        <v/>
      </c>
      <c r="T31" s="43" t="str">
        <f aca="false">IF(AND(T$3&gt;=$E31,T$3&lt;=$F31),1,"")</f>
        <v/>
      </c>
      <c r="U31" s="43" t="str">
        <f aca="false">IF(AND(U$3&gt;=$E31,U$3&lt;=$F31),1,"")</f>
        <v/>
      </c>
      <c r="V31" s="43" t="str">
        <f aca="false">IF(AND(V$3&gt;=$E31,V$3&lt;=$F31),1,"")</f>
        <v/>
      </c>
      <c r="W31" s="43" t="str">
        <f aca="false">IF(AND(W$3&gt;=$E31,W$3&lt;=$F31),1,"")</f>
        <v/>
      </c>
      <c r="X31" s="43" t="str">
        <f aca="false">IF(AND(X$3&gt;=$E31,X$3&lt;=$F31),1,"")</f>
        <v/>
      </c>
      <c r="Y31" s="43" t="str">
        <f aca="false">IF(AND(Y$3&gt;=$E31,Y$3&lt;=$F31),1,"")</f>
        <v/>
      </c>
      <c r="Z31" s="43" t="str">
        <f aca="false">IF(AND(Z$3&gt;=$E31,Z$3&lt;=$F31),1,"")</f>
        <v/>
      </c>
    </row>
    <row r="32" customFormat="false" ht="15" hidden="false" customHeight="false" outlineLevel="0" collapsed="false">
      <c r="A32" s="42" t="str">
        <f aca="false">Roadmap!A32</f>
        <v>1.15</v>
      </c>
      <c r="B32" s="42" t="str">
        <f aca="false">Roadmap!B32</f>
        <v>P1 Set up</v>
      </c>
      <c r="C32" s="28" t="str">
        <f aca="false">Roadmap!D32</f>
        <v>Set up Trakheesi permit and Madmoun QR workflow for pilot listings</v>
      </c>
      <c r="D32" s="28" t="str">
        <f aca="false">Roadmap!G32</f>
        <v>Broker-Manager (Head of Brokerage)</v>
      </c>
      <c r="E32" s="42" t="n">
        <f aca="false">Roadmap!I32</f>
        <v>7</v>
      </c>
      <c r="F32" s="42" t="n">
        <f aca="false">Roadmap!K32</f>
        <v>7</v>
      </c>
      <c r="G32" s="43" t="str">
        <f aca="false">IF(AND(G$3&gt;=$E32,G$3&lt;=$F32),1,"")</f>
        <v/>
      </c>
      <c r="H32" s="43" t="str">
        <f aca="false">IF(AND(H$3&gt;=$E32,H$3&lt;=$F32),1,"")</f>
        <v/>
      </c>
      <c r="I32" s="43" t="str">
        <f aca="false">IF(AND(I$3&gt;=$E32,I$3&lt;=$F32),1,"")</f>
        <v/>
      </c>
      <c r="J32" s="43" t="str">
        <f aca="false">IF(AND(J$3&gt;=$E32,J$3&lt;=$F32),1,"")</f>
        <v/>
      </c>
      <c r="K32" s="43" t="str">
        <f aca="false">IF(AND(K$3&gt;=$E32,K$3&lt;=$F32),1,"")</f>
        <v/>
      </c>
      <c r="L32" s="43" t="str">
        <f aca="false">IF(AND(L$3&gt;=$E32,L$3&lt;=$F32),1,"")</f>
        <v/>
      </c>
      <c r="M32" s="43" t="n">
        <f aca="false">IF(AND(M$3&gt;=$E32,M$3&lt;=$F32),1,"")</f>
        <v>1</v>
      </c>
      <c r="N32" s="43" t="str">
        <f aca="false">IF(AND(N$3&gt;=$E32,N$3&lt;=$F32),1,"")</f>
        <v/>
      </c>
      <c r="O32" s="43" t="str">
        <f aca="false">IF(AND(O$3&gt;=$E32,O$3&lt;=$F32),1,"")</f>
        <v/>
      </c>
      <c r="P32" s="43" t="str">
        <f aca="false">IF(AND(P$3&gt;=$E32,P$3&lt;=$F32),1,"")</f>
        <v/>
      </c>
      <c r="Q32" s="43" t="str">
        <f aca="false">IF(AND(Q$3&gt;=$E32,Q$3&lt;=$F32),1,"")</f>
        <v/>
      </c>
      <c r="R32" s="43" t="str">
        <f aca="false">IF(AND(R$3&gt;=$E32,R$3&lt;=$F32),1,"")</f>
        <v/>
      </c>
      <c r="S32" s="43" t="str">
        <f aca="false">IF(AND(S$3&gt;=$E32,S$3&lt;=$F32),1,"")</f>
        <v/>
      </c>
      <c r="T32" s="43" t="str">
        <f aca="false">IF(AND(T$3&gt;=$E32,T$3&lt;=$F32),1,"")</f>
        <v/>
      </c>
      <c r="U32" s="43" t="str">
        <f aca="false">IF(AND(U$3&gt;=$E32,U$3&lt;=$F32),1,"")</f>
        <v/>
      </c>
      <c r="V32" s="43" t="str">
        <f aca="false">IF(AND(V$3&gt;=$E32,V$3&lt;=$F32),1,"")</f>
        <v/>
      </c>
      <c r="W32" s="43" t="str">
        <f aca="false">IF(AND(W$3&gt;=$E32,W$3&lt;=$F32),1,"")</f>
        <v/>
      </c>
      <c r="X32" s="43" t="str">
        <f aca="false">IF(AND(X$3&gt;=$E32,X$3&lt;=$F32),1,"")</f>
        <v/>
      </c>
      <c r="Y32" s="43" t="str">
        <f aca="false">IF(AND(Y$3&gt;=$E32,Y$3&lt;=$F32),1,"")</f>
        <v/>
      </c>
      <c r="Z32" s="43" t="str">
        <f aca="false">IF(AND(Z$3&gt;=$E32,Z$3&lt;=$F32),1,"")</f>
        <v/>
      </c>
    </row>
    <row r="33" customFormat="false" ht="15" hidden="false" customHeight="false" outlineLevel="0" collapsed="false">
      <c r="A33" s="42" t="str">
        <f aca="false">Roadmap!A33</f>
        <v>1.16</v>
      </c>
      <c r="B33" s="42" t="str">
        <f aca="false">Roadmap!B33</f>
        <v>P1 Set up</v>
      </c>
      <c r="C33" s="28" t="str">
        <f aca="false">Roadmap!D33</f>
        <v>MILESTONE M1: brokerage licensed and operating</v>
      </c>
      <c r="D33" s="28" t="str">
        <f aca="false">Roadmap!G33</f>
        <v>Founder &amp; CEO</v>
      </c>
      <c r="E33" s="42" t="n">
        <f aca="false">Roadmap!I33</f>
        <v>8</v>
      </c>
      <c r="F33" s="42" t="n">
        <f aca="false">Roadmap!K33</f>
        <v>8</v>
      </c>
      <c r="G33" s="43" t="str">
        <f aca="false">IF(AND(G$3&gt;=$E33,G$3&lt;=$F33),1,"")</f>
        <v/>
      </c>
      <c r="H33" s="43" t="str">
        <f aca="false">IF(AND(H$3&gt;=$E33,H$3&lt;=$F33),1,"")</f>
        <v/>
      </c>
      <c r="I33" s="43" t="str">
        <f aca="false">IF(AND(I$3&gt;=$E33,I$3&lt;=$F33),1,"")</f>
        <v/>
      </c>
      <c r="J33" s="43" t="str">
        <f aca="false">IF(AND(J$3&gt;=$E33,J$3&lt;=$F33),1,"")</f>
        <v/>
      </c>
      <c r="K33" s="43" t="str">
        <f aca="false">IF(AND(K$3&gt;=$E33,K$3&lt;=$F33),1,"")</f>
        <v/>
      </c>
      <c r="L33" s="43" t="str">
        <f aca="false">IF(AND(L$3&gt;=$E33,L$3&lt;=$F33),1,"")</f>
        <v/>
      </c>
      <c r="M33" s="43" t="str">
        <f aca="false">IF(AND(M$3&gt;=$E33,M$3&lt;=$F33),1,"")</f>
        <v/>
      </c>
      <c r="N33" s="43" t="n">
        <f aca="false">IF(AND(N$3&gt;=$E33,N$3&lt;=$F33),1,"")</f>
        <v>1</v>
      </c>
      <c r="O33" s="43" t="str">
        <f aca="false">IF(AND(O$3&gt;=$E33,O$3&lt;=$F33),1,"")</f>
        <v/>
      </c>
      <c r="P33" s="43" t="str">
        <f aca="false">IF(AND(P$3&gt;=$E33,P$3&lt;=$F33),1,"")</f>
        <v/>
      </c>
      <c r="Q33" s="43" t="str">
        <f aca="false">IF(AND(Q$3&gt;=$E33,Q$3&lt;=$F33),1,"")</f>
        <v/>
      </c>
      <c r="R33" s="43" t="str">
        <f aca="false">IF(AND(R$3&gt;=$E33,R$3&lt;=$F33),1,"")</f>
        <v/>
      </c>
      <c r="S33" s="43" t="str">
        <f aca="false">IF(AND(S$3&gt;=$E33,S$3&lt;=$F33),1,"")</f>
        <v/>
      </c>
      <c r="T33" s="43" t="str">
        <f aca="false">IF(AND(T$3&gt;=$E33,T$3&lt;=$F33),1,"")</f>
        <v/>
      </c>
      <c r="U33" s="43" t="str">
        <f aca="false">IF(AND(U$3&gt;=$E33,U$3&lt;=$F33),1,"")</f>
        <v/>
      </c>
      <c r="V33" s="43" t="str">
        <f aca="false">IF(AND(V$3&gt;=$E33,V$3&lt;=$F33),1,"")</f>
        <v/>
      </c>
      <c r="W33" s="43" t="str">
        <f aca="false">IF(AND(W$3&gt;=$E33,W$3&lt;=$F33),1,"")</f>
        <v/>
      </c>
      <c r="X33" s="43" t="str">
        <f aca="false">IF(AND(X$3&gt;=$E33,X$3&lt;=$F33),1,"")</f>
        <v/>
      </c>
      <c r="Y33" s="43" t="str">
        <f aca="false">IF(AND(Y$3&gt;=$E33,Y$3&lt;=$F33),1,"")</f>
        <v/>
      </c>
      <c r="Z33" s="43" t="str">
        <f aca="false">IF(AND(Z$3&gt;=$E33,Z$3&lt;=$F33),1,"")</f>
        <v/>
      </c>
    </row>
    <row r="34" customFormat="false" ht="15" hidden="false" customHeight="false" outlineLevel="0" collapsed="false">
      <c r="A34" s="42" t="str">
        <f aca="false">Roadmap!A34</f>
        <v>1.17</v>
      </c>
      <c r="B34" s="42" t="str">
        <f aca="false">Roadmap!B34</f>
        <v>P1 Set up</v>
      </c>
      <c r="C34" s="28" t="str">
        <f aca="false">Roadmap!D34</f>
        <v>If licence is late: run the pilot through a licensed partner brokerage</v>
      </c>
      <c r="D34" s="28" t="str">
        <f aca="false">Roadmap!G34</f>
        <v>Founder &amp; CEO</v>
      </c>
      <c r="E34" s="42" t="n">
        <f aca="false">Roadmap!I34</f>
        <v>8</v>
      </c>
      <c r="F34" s="42" t="n">
        <f aca="false">Roadmap!K34</f>
        <v>8</v>
      </c>
      <c r="G34" s="43" t="str">
        <f aca="false">IF(AND(G$3&gt;=$E34,G$3&lt;=$F34),1,"")</f>
        <v/>
      </c>
      <c r="H34" s="43" t="str">
        <f aca="false">IF(AND(H$3&gt;=$E34,H$3&lt;=$F34),1,"")</f>
        <v/>
      </c>
      <c r="I34" s="43" t="str">
        <f aca="false">IF(AND(I$3&gt;=$E34,I$3&lt;=$F34),1,"")</f>
        <v/>
      </c>
      <c r="J34" s="43" t="str">
        <f aca="false">IF(AND(J$3&gt;=$E34,J$3&lt;=$F34),1,"")</f>
        <v/>
      </c>
      <c r="K34" s="43" t="str">
        <f aca="false">IF(AND(K$3&gt;=$E34,K$3&lt;=$F34),1,"")</f>
        <v/>
      </c>
      <c r="L34" s="43" t="str">
        <f aca="false">IF(AND(L$3&gt;=$E34,L$3&lt;=$F34),1,"")</f>
        <v/>
      </c>
      <c r="M34" s="43" t="str">
        <f aca="false">IF(AND(M$3&gt;=$E34,M$3&lt;=$F34),1,"")</f>
        <v/>
      </c>
      <c r="N34" s="43" t="n">
        <f aca="false">IF(AND(N$3&gt;=$E34,N$3&lt;=$F34),1,"")</f>
        <v>1</v>
      </c>
      <c r="O34" s="43" t="str">
        <f aca="false">IF(AND(O$3&gt;=$E34,O$3&lt;=$F34),1,"")</f>
        <v/>
      </c>
      <c r="P34" s="43" t="str">
        <f aca="false">IF(AND(P$3&gt;=$E34,P$3&lt;=$F34),1,"")</f>
        <v/>
      </c>
      <c r="Q34" s="43" t="str">
        <f aca="false">IF(AND(Q$3&gt;=$E34,Q$3&lt;=$F34),1,"")</f>
        <v/>
      </c>
      <c r="R34" s="43" t="str">
        <f aca="false">IF(AND(R$3&gt;=$E34,R$3&lt;=$F34),1,"")</f>
        <v/>
      </c>
      <c r="S34" s="43" t="str">
        <f aca="false">IF(AND(S$3&gt;=$E34,S$3&lt;=$F34),1,"")</f>
        <v/>
      </c>
      <c r="T34" s="43" t="str">
        <f aca="false">IF(AND(T$3&gt;=$E34,T$3&lt;=$F34),1,"")</f>
        <v/>
      </c>
      <c r="U34" s="43" t="str">
        <f aca="false">IF(AND(U$3&gt;=$E34,U$3&lt;=$F34),1,"")</f>
        <v/>
      </c>
      <c r="V34" s="43" t="str">
        <f aca="false">IF(AND(V$3&gt;=$E34,V$3&lt;=$F34),1,"")</f>
        <v/>
      </c>
      <c r="W34" s="43" t="str">
        <f aca="false">IF(AND(W$3&gt;=$E34,W$3&lt;=$F34),1,"")</f>
        <v/>
      </c>
      <c r="X34" s="43" t="str">
        <f aca="false">IF(AND(X$3&gt;=$E34,X$3&lt;=$F34),1,"")</f>
        <v/>
      </c>
      <c r="Y34" s="43" t="str">
        <f aca="false">IF(AND(Y$3&gt;=$E34,Y$3&lt;=$F34),1,"")</f>
        <v/>
      </c>
      <c r="Z34" s="43" t="str">
        <f aca="false">IF(AND(Z$3&gt;=$E34,Z$3&lt;=$F34),1,"")</f>
        <v/>
      </c>
    </row>
    <row r="35" customFormat="false" ht="15" hidden="false" customHeight="false" outlineLevel="0" collapsed="false">
      <c r="A35" s="42" t="str">
        <f aca="false">Roadmap!A35</f>
        <v>2.01</v>
      </c>
      <c r="B35" s="42" t="str">
        <f aca="false">Roadmap!B35</f>
        <v>P2 Pilot</v>
      </c>
      <c r="C35" s="28" t="str">
        <f aca="false">Roadmap!D35</f>
        <v>Define pilot scope, target segment and success metrics</v>
      </c>
      <c r="D35" s="28" t="str">
        <f aca="false">Roadmap!G35</f>
        <v>Founder &amp; CEO</v>
      </c>
      <c r="E35" s="42" t="n">
        <f aca="false">Roadmap!I35</f>
        <v>5</v>
      </c>
      <c r="F35" s="42" t="n">
        <f aca="false">Roadmap!K35</f>
        <v>5</v>
      </c>
      <c r="G35" s="43" t="str">
        <f aca="false">IF(AND(G$3&gt;=$E35,G$3&lt;=$F35),1,"")</f>
        <v/>
      </c>
      <c r="H35" s="43" t="str">
        <f aca="false">IF(AND(H$3&gt;=$E35,H$3&lt;=$F35),1,"")</f>
        <v/>
      </c>
      <c r="I35" s="43" t="str">
        <f aca="false">IF(AND(I$3&gt;=$E35,I$3&lt;=$F35),1,"")</f>
        <v/>
      </c>
      <c r="J35" s="43" t="str">
        <f aca="false">IF(AND(J$3&gt;=$E35,J$3&lt;=$F35),1,"")</f>
        <v/>
      </c>
      <c r="K35" s="43" t="n">
        <f aca="false">IF(AND(K$3&gt;=$E35,K$3&lt;=$F35),1,"")</f>
        <v>1</v>
      </c>
      <c r="L35" s="43" t="str">
        <f aca="false">IF(AND(L$3&gt;=$E35,L$3&lt;=$F35),1,"")</f>
        <v/>
      </c>
      <c r="M35" s="43" t="str">
        <f aca="false">IF(AND(M$3&gt;=$E35,M$3&lt;=$F35),1,"")</f>
        <v/>
      </c>
      <c r="N35" s="43" t="str">
        <f aca="false">IF(AND(N$3&gt;=$E35,N$3&lt;=$F35),1,"")</f>
        <v/>
      </c>
      <c r="O35" s="43" t="str">
        <f aca="false">IF(AND(O$3&gt;=$E35,O$3&lt;=$F35),1,"")</f>
        <v/>
      </c>
      <c r="P35" s="43" t="str">
        <f aca="false">IF(AND(P$3&gt;=$E35,P$3&lt;=$F35),1,"")</f>
        <v/>
      </c>
      <c r="Q35" s="43" t="str">
        <f aca="false">IF(AND(Q$3&gt;=$E35,Q$3&lt;=$F35),1,"")</f>
        <v/>
      </c>
      <c r="R35" s="43" t="str">
        <f aca="false">IF(AND(R$3&gt;=$E35,R$3&lt;=$F35),1,"")</f>
        <v/>
      </c>
      <c r="S35" s="43" t="str">
        <f aca="false">IF(AND(S$3&gt;=$E35,S$3&lt;=$F35),1,"")</f>
        <v/>
      </c>
      <c r="T35" s="43" t="str">
        <f aca="false">IF(AND(T$3&gt;=$E35,T$3&lt;=$F35),1,"")</f>
        <v/>
      </c>
      <c r="U35" s="43" t="str">
        <f aca="false">IF(AND(U$3&gt;=$E35,U$3&lt;=$F35),1,"")</f>
        <v/>
      </c>
      <c r="V35" s="43" t="str">
        <f aca="false">IF(AND(V$3&gt;=$E35,V$3&lt;=$F35),1,"")</f>
        <v/>
      </c>
      <c r="W35" s="43" t="str">
        <f aca="false">IF(AND(W$3&gt;=$E35,W$3&lt;=$F35),1,"")</f>
        <v/>
      </c>
      <c r="X35" s="43" t="str">
        <f aca="false">IF(AND(X$3&gt;=$E35,X$3&lt;=$F35),1,"")</f>
        <v/>
      </c>
      <c r="Y35" s="43" t="str">
        <f aca="false">IF(AND(Y$3&gt;=$E35,Y$3&lt;=$F35),1,"")</f>
        <v/>
      </c>
      <c r="Z35" s="43" t="str">
        <f aca="false">IF(AND(Z$3&gt;=$E35,Z$3&lt;=$F35),1,"")</f>
        <v/>
      </c>
    </row>
    <row r="36" customFormat="false" ht="23.85" hidden="false" customHeight="false" outlineLevel="0" collapsed="false">
      <c r="A36" s="42" t="str">
        <f aca="false">Roadmap!A36</f>
        <v>2.02</v>
      </c>
      <c r="B36" s="42" t="str">
        <f aca="false">Roadmap!B36</f>
        <v>P2 Pilot</v>
      </c>
      <c r="C36" s="28" t="str">
        <f aca="false">Roadmap!D36</f>
        <v>Clickable prototype of the core journey (insights, 3D, reserve, tracker)</v>
      </c>
      <c r="D36" s="28" t="str">
        <f aca="false">Roadmap!G36</f>
        <v>Co-founder &amp; CTO</v>
      </c>
      <c r="E36" s="42" t="n">
        <f aca="false">Roadmap!I36</f>
        <v>4</v>
      </c>
      <c r="F36" s="42" t="n">
        <f aca="false">Roadmap!K36</f>
        <v>6</v>
      </c>
      <c r="G36" s="43" t="str">
        <f aca="false">IF(AND(G$3&gt;=$E36,G$3&lt;=$F36),1,"")</f>
        <v/>
      </c>
      <c r="H36" s="43" t="str">
        <f aca="false">IF(AND(H$3&gt;=$E36,H$3&lt;=$F36),1,"")</f>
        <v/>
      </c>
      <c r="I36" s="43" t="str">
        <f aca="false">IF(AND(I$3&gt;=$E36,I$3&lt;=$F36),1,"")</f>
        <v/>
      </c>
      <c r="J36" s="43" t="n">
        <f aca="false">IF(AND(J$3&gt;=$E36,J$3&lt;=$F36),1,"")</f>
        <v>1</v>
      </c>
      <c r="K36" s="43" t="n">
        <f aca="false">IF(AND(K$3&gt;=$E36,K$3&lt;=$F36),1,"")</f>
        <v>1</v>
      </c>
      <c r="L36" s="43" t="n">
        <f aca="false">IF(AND(L$3&gt;=$E36,L$3&lt;=$F36),1,"")</f>
        <v>1</v>
      </c>
      <c r="M36" s="43" t="str">
        <f aca="false">IF(AND(M$3&gt;=$E36,M$3&lt;=$F36),1,"")</f>
        <v/>
      </c>
      <c r="N36" s="43" t="str">
        <f aca="false">IF(AND(N$3&gt;=$E36,N$3&lt;=$F36),1,"")</f>
        <v/>
      </c>
      <c r="O36" s="43" t="str">
        <f aca="false">IF(AND(O$3&gt;=$E36,O$3&lt;=$F36),1,"")</f>
        <v/>
      </c>
      <c r="P36" s="43" t="str">
        <f aca="false">IF(AND(P$3&gt;=$E36,P$3&lt;=$F36),1,"")</f>
        <v/>
      </c>
      <c r="Q36" s="43" t="str">
        <f aca="false">IF(AND(Q$3&gt;=$E36,Q$3&lt;=$F36),1,"")</f>
        <v/>
      </c>
      <c r="R36" s="43" t="str">
        <f aca="false">IF(AND(R$3&gt;=$E36,R$3&lt;=$F36),1,"")</f>
        <v/>
      </c>
      <c r="S36" s="43" t="str">
        <f aca="false">IF(AND(S$3&gt;=$E36,S$3&lt;=$F36),1,"")</f>
        <v/>
      </c>
      <c r="T36" s="43" t="str">
        <f aca="false">IF(AND(T$3&gt;=$E36,T$3&lt;=$F36),1,"")</f>
        <v/>
      </c>
      <c r="U36" s="43" t="str">
        <f aca="false">IF(AND(U$3&gt;=$E36,U$3&lt;=$F36),1,"")</f>
        <v/>
      </c>
      <c r="V36" s="43" t="str">
        <f aca="false">IF(AND(V$3&gt;=$E36,V$3&lt;=$F36),1,"")</f>
        <v/>
      </c>
      <c r="W36" s="43" t="str">
        <f aca="false">IF(AND(W$3&gt;=$E36,W$3&lt;=$F36),1,"")</f>
        <v/>
      </c>
      <c r="X36" s="43" t="str">
        <f aca="false">IF(AND(X$3&gt;=$E36,X$3&lt;=$F36),1,"")</f>
        <v/>
      </c>
      <c r="Y36" s="43" t="str">
        <f aca="false">IF(AND(Y$3&gt;=$E36,Y$3&lt;=$F36),1,"")</f>
        <v/>
      </c>
      <c r="Z36" s="43" t="str">
        <f aca="false">IF(AND(Z$3&gt;=$E36,Z$3&lt;=$F36),1,"")</f>
        <v/>
      </c>
    </row>
    <row r="37" customFormat="false" ht="15" hidden="false" customHeight="false" outlineLevel="0" collapsed="false">
      <c r="A37" s="42" t="str">
        <f aca="false">Roadmap!A37</f>
        <v>2.03</v>
      </c>
      <c r="B37" s="42" t="str">
        <f aca="false">Roadmap!B37</f>
        <v>P2 Pilot</v>
      </c>
      <c r="C37" s="28" t="str">
        <f aca="false">Roadmap!D37</f>
        <v>Test the prototype with 10 users and iterate</v>
      </c>
      <c r="D37" s="28" t="str">
        <f aca="false">Roadmap!G37</f>
        <v>Product Designer</v>
      </c>
      <c r="E37" s="42" t="n">
        <f aca="false">Roadmap!I37</f>
        <v>7</v>
      </c>
      <c r="F37" s="42" t="n">
        <f aca="false">Roadmap!K37</f>
        <v>7</v>
      </c>
      <c r="G37" s="43" t="str">
        <f aca="false">IF(AND(G$3&gt;=$E37,G$3&lt;=$F37),1,"")</f>
        <v/>
      </c>
      <c r="H37" s="43" t="str">
        <f aca="false">IF(AND(H$3&gt;=$E37,H$3&lt;=$F37),1,"")</f>
        <v/>
      </c>
      <c r="I37" s="43" t="str">
        <f aca="false">IF(AND(I$3&gt;=$E37,I$3&lt;=$F37),1,"")</f>
        <v/>
      </c>
      <c r="J37" s="43" t="str">
        <f aca="false">IF(AND(J$3&gt;=$E37,J$3&lt;=$F37),1,"")</f>
        <v/>
      </c>
      <c r="K37" s="43" t="str">
        <f aca="false">IF(AND(K$3&gt;=$E37,K$3&lt;=$F37),1,"")</f>
        <v/>
      </c>
      <c r="L37" s="43" t="str">
        <f aca="false">IF(AND(L$3&gt;=$E37,L$3&lt;=$F37),1,"")</f>
        <v/>
      </c>
      <c r="M37" s="43" t="n">
        <f aca="false">IF(AND(M$3&gt;=$E37,M$3&lt;=$F37),1,"")</f>
        <v>1</v>
      </c>
      <c r="N37" s="43" t="str">
        <f aca="false">IF(AND(N$3&gt;=$E37,N$3&lt;=$F37),1,"")</f>
        <v/>
      </c>
      <c r="O37" s="43" t="str">
        <f aca="false">IF(AND(O$3&gt;=$E37,O$3&lt;=$F37),1,"")</f>
        <v/>
      </c>
      <c r="P37" s="43" t="str">
        <f aca="false">IF(AND(P$3&gt;=$E37,P$3&lt;=$F37),1,"")</f>
        <v/>
      </c>
      <c r="Q37" s="43" t="str">
        <f aca="false">IF(AND(Q$3&gt;=$E37,Q$3&lt;=$F37),1,"")</f>
        <v/>
      </c>
      <c r="R37" s="43" t="str">
        <f aca="false">IF(AND(R$3&gt;=$E37,R$3&lt;=$F37),1,"")</f>
        <v/>
      </c>
      <c r="S37" s="43" t="str">
        <f aca="false">IF(AND(S$3&gt;=$E37,S$3&lt;=$F37),1,"")</f>
        <v/>
      </c>
      <c r="T37" s="43" t="str">
        <f aca="false">IF(AND(T$3&gt;=$E37,T$3&lt;=$F37),1,"")</f>
        <v/>
      </c>
      <c r="U37" s="43" t="str">
        <f aca="false">IF(AND(U$3&gt;=$E37,U$3&lt;=$F37),1,"")</f>
        <v/>
      </c>
      <c r="V37" s="43" t="str">
        <f aca="false">IF(AND(V$3&gt;=$E37,V$3&lt;=$F37),1,"")</f>
        <v/>
      </c>
      <c r="W37" s="43" t="str">
        <f aca="false">IF(AND(W$3&gt;=$E37,W$3&lt;=$F37),1,"")</f>
        <v/>
      </c>
      <c r="X37" s="43" t="str">
        <f aca="false">IF(AND(X$3&gt;=$E37,X$3&lt;=$F37),1,"")</f>
        <v/>
      </c>
      <c r="Y37" s="43" t="str">
        <f aca="false">IF(AND(Y$3&gt;=$E37,Y$3&lt;=$F37),1,"")</f>
        <v/>
      </c>
      <c r="Z37" s="43" t="str">
        <f aca="false">IF(AND(Z$3&gt;=$E37,Z$3&lt;=$F37),1,"")</f>
        <v/>
      </c>
    </row>
    <row r="38" customFormat="false" ht="15" hidden="false" customHeight="false" outlineLevel="0" collapsed="false">
      <c r="A38" s="42" t="str">
        <f aca="false">Roadmap!A38</f>
        <v>2.04</v>
      </c>
      <c r="B38" s="42" t="str">
        <f aca="false">Roadmap!B38</f>
        <v>P2 Pilot</v>
      </c>
      <c r="C38" s="28" t="str">
        <f aca="false">Roadmap!D38</f>
        <v>Insights v0: data sources and 5 insight cards</v>
      </c>
      <c r="D38" s="28" t="str">
        <f aca="false">Roadmap!G38</f>
        <v>Data Analyst</v>
      </c>
      <c r="E38" s="42" t="n">
        <f aca="false">Roadmap!I38</f>
        <v>5</v>
      </c>
      <c r="F38" s="42" t="n">
        <f aca="false">Roadmap!K38</f>
        <v>8</v>
      </c>
      <c r="G38" s="43" t="str">
        <f aca="false">IF(AND(G$3&gt;=$E38,G$3&lt;=$F38),1,"")</f>
        <v/>
      </c>
      <c r="H38" s="43" t="str">
        <f aca="false">IF(AND(H$3&gt;=$E38,H$3&lt;=$F38),1,"")</f>
        <v/>
      </c>
      <c r="I38" s="43" t="str">
        <f aca="false">IF(AND(I$3&gt;=$E38,I$3&lt;=$F38),1,"")</f>
        <v/>
      </c>
      <c r="J38" s="43" t="str">
        <f aca="false">IF(AND(J$3&gt;=$E38,J$3&lt;=$F38),1,"")</f>
        <v/>
      </c>
      <c r="K38" s="43" t="n">
        <f aca="false">IF(AND(K$3&gt;=$E38,K$3&lt;=$F38),1,"")</f>
        <v>1</v>
      </c>
      <c r="L38" s="43" t="n">
        <f aca="false">IF(AND(L$3&gt;=$E38,L$3&lt;=$F38),1,"")</f>
        <v>1</v>
      </c>
      <c r="M38" s="43" t="n">
        <f aca="false">IF(AND(M$3&gt;=$E38,M$3&lt;=$F38),1,"")</f>
        <v>1</v>
      </c>
      <c r="N38" s="43" t="n">
        <f aca="false">IF(AND(N$3&gt;=$E38,N$3&lt;=$F38),1,"")</f>
        <v>1</v>
      </c>
      <c r="O38" s="43" t="str">
        <f aca="false">IF(AND(O$3&gt;=$E38,O$3&lt;=$F38),1,"")</f>
        <v/>
      </c>
      <c r="P38" s="43" t="str">
        <f aca="false">IF(AND(P$3&gt;=$E38,P$3&lt;=$F38),1,"")</f>
        <v/>
      </c>
      <c r="Q38" s="43" t="str">
        <f aca="false">IF(AND(Q$3&gt;=$E38,Q$3&lt;=$F38),1,"")</f>
        <v/>
      </c>
      <c r="R38" s="43" t="str">
        <f aca="false">IF(AND(R$3&gt;=$E38,R$3&lt;=$F38),1,"")</f>
        <v/>
      </c>
      <c r="S38" s="43" t="str">
        <f aca="false">IF(AND(S$3&gt;=$E38,S$3&lt;=$F38),1,"")</f>
        <v/>
      </c>
      <c r="T38" s="43" t="str">
        <f aca="false">IF(AND(T$3&gt;=$E38,T$3&lt;=$F38),1,"")</f>
        <v/>
      </c>
      <c r="U38" s="43" t="str">
        <f aca="false">IF(AND(U$3&gt;=$E38,U$3&lt;=$F38),1,"")</f>
        <v/>
      </c>
      <c r="V38" s="43" t="str">
        <f aca="false">IF(AND(V$3&gt;=$E38,V$3&lt;=$F38),1,"")</f>
        <v/>
      </c>
      <c r="W38" s="43" t="str">
        <f aca="false">IF(AND(W$3&gt;=$E38,W$3&lt;=$F38),1,"")</f>
        <v/>
      </c>
      <c r="X38" s="43" t="str">
        <f aca="false">IF(AND(X$3&gt;=$E38,X$3&lt;=$F38),1,"")</f>
        <v/>
      </c>
      <c r="Y38" s="43" t="str">
        <f aca="false">IF(AND(Y$3&gt;=$E38,Y$3&lt;=$F38),1,"")</f>
        <v/>
      </c>
      <c r="Z38" s="43" t="str">
        <f aca="false">IF(AND(Z$3&gt;=$E38,Z$3&lt;=$F38),1,"")</f>
        <v/>
      </c>
    </row>
    <row r="39" customFormat="false" ht="23.85" hidden="false" customHeight="false" outlineLevel="0" collapsed="false">
      <c r="A39" s="42" t="str">
        <f aca="false">Roadmap!A39</f>
        <v>2.05</v>
      </c>
      <c r="B39" s="42" t="str">
        <f aca="false">Roadmap!B39</f>
        <v>P2 Pilot</v>
      </c>
      <c r="C39" s="28" t="str">
        <f aca="false">Roadmap!D39</f>
        <v>3D / virtual tour for 10 units via developer assets or a viewer partner</v>
      </c>
      <c r="D39" s="28" t="str">
        <f aca="false">Roadmap!G39</f>
        <v>Partnerships Lead (Developers &amp; Supply)</v>
      </c>
      <c r="E39" s="42" t="n">
        <f aca="false">Roadmap!I39</f>
        <v>6</v>
      </c>
      <c r="F39" s="42" t="n">
        <f aca="false">Roadmap!K39</f>
        <v>8</v>
      </c>
      <c r="G39" s="43" t="str">
        <f aca="false">IF(AND(G$3&gt;=$E39,G$3&lt;=$F39),1,"")</f>
        <v/>
      </c>
      <c r="H39" s="43" t="str">
        <f aca="false">IF(AND(H$3&gt;=$E39,H$3&lt;=$F39),1,"")</f>
        <v/>
      </c>
      <c r="I39" s="43" t="str">
        <f aca="false">IF(AND(I$3&gt;=$E39,I$3&lt;=$F39),1,"")</f>
        <v/>
      </c>
      <c r="J39" s="43" t="str">
        <f aca="false">IF(AND(J$3&gt;=$E39,J$3&lt;=$F39),1,"")</f>
        <v/>
      </c>
      <c r="K39" s="43" t="str">
        <f aca="false">IF(AND(K$3&gt;=$E39,K$3&lt;=$F39),1,"")</f>
        <v/>
      </c>
      <c r="L39" s="43" t="n">
        <f aca="false">IF(AND(L$3&gt;=$E39,L$3&lt;=$F39),1,"")</f>
        <v>1</v>
      </c>
      <c r="M39" s="43" t="n">
        <f aca="false">IF(AND(M$3&gt;=$E39,M$3&lt;=$F39),1,"")</f>
        <v>1</v>
      </c>
      <c r="N39" s="43" t="n">
        <f aca="false">IF(AND(N$3&gt;=$E39,N$3&lt;=$F39),1,"")</f>
        <v>1</v>
      </c>
      <c r="O39" s="43" t="str">
        <f aca="false">IF(AND(O$3&gt;=$E39,O$3&lt;=$F39),1,"")</f>
        <v/>
      </c>
      <c r="P39" s="43" t="str">
        <f aca="false">IF(AND(P$3&gt;=$E39,P$3&lt;=$F39),1,"")</f>
        <v/>
      </c>
      <c r="Q39" s="43" t="str">
        <f aca="false">IF(AND(Q$3&gt;=$E39,Q$3&lt;=$F39),1,"")</f>
        <v/>
      </c>
      <c r="R39" s="43" t="str">
        <f aca="false">IF(AND(R$3&gt;=$E39,R$3&lt;=$F39),1,"")</f>
        <v/>
      </c>
      <c r="S39" s="43" t="str">
        <f aca="false">IF(AND(S$3&gt;=$E39,S$3&lt;=$F39),1,"")</f>
        <v/>
      </c>
      <c r="T39" s="43" t="str">
        <f aca="false">IF(AND(T$3&gt;=$E39,T$3&lt;=$F39),1,"")</f>
        <v/>
      </c>
      <c r="U39" s="43" t="str">
        <f aca="false">IF(AND(U$3&gt;=$E39,U$3&lt;=$F39),1,"")</f>
        <v/>
      </c>
      <c r="V39" s="43" t="str">
        <f aca="false">IF(AND(V$3&gt;=$E39,V$3&lt;=$F39),1,"")</f>
        <v/>
      </c>
      <c r="W39" s="43" t="str">
        <f aca="false">IF(AND(W$3&gt;=$E39,W$3&lt;=$F39),1,"")</f>
        <v/>
      </c>
      <c r="X39" s="43" t="str">
        <f aca="false">IF(AND(X$3&gt;=$E39,X$3&lt;=$F39),1,"")</f>
        <v/>
      </c>
      <c r="Y39" s="43" t="str">
        <f aca="false">IF(AND(Y$3&gt;=$E39,Y$3&lt;=$F39),1,"")</f>
        <v/>
      </c>
      <c r="Z39" s="43" t="str">
        <f aca="false">IF(AND(Z$3&gt;=$E39,Z$3&lt;=$F39),1,"")</f>
        <v/>
      </c>
    </row>
    <row r="40" customFormat="false" ht="15" hidden="false" customHeight="false" outlineLevel="0" collapsed="false">
      <c r="A40" s="42" t="str">
        <f aca="false">Roadmap!A40</f>
        <v>2.06</v>
      </c>
      <c r="B40" s="42" t="str">
        <f aca="false">Roadmap!B40</f>
        <v>P2 Pilot</v>
      </c>
      <c r="C40" s="28" t="str">
        <f aca="false">Roadmap!D40</f>
        <v>Documents and payment reminders v0</v>
      </c>
      <c r="D40" s="28" t="str">
        <f aca="false">Roadmap!G40</f>
        <v>Co-founder &amp; CTO</v>
      </c>
      <c r="E40" s="42" t="n">
        <f aca="false">Roadmap!I40</f>
        <v>6</v>
      </c>
      <c r="F40" s="42" t="n">
        <f aca="false">Roadmap!K40</f>
        <v>8</v>
      </c>
      <c r="G40" s="43" t="str">
        <f aca="false">IF(AND(G$3&gt;=$E40,G$3&lt;=$F40),1,"")</f>
        <v/>
      </c>
      <c r="H40" s="43" t="str">
        <f aca="false">IF(AND(H$3&gt;=$E40,H$3&lt;=$F40),1,"")</f>
        <v/>
      </c>
      <c r="I40" s="43" t="str">
        <f aca="false">IF(AND(I$3&gt;=$E40,I$3&lt;=$F40),1,"")</f>
        <v/>
      </c>
      <c r="J40" s="43" t="str">
        <f aca="false">IF(AND(J$3&gt;=$E40,J$3&lt;=$F40),1,"")</f>
        <v/>
      </c>
      <c r="K40" s="43" t="str">
        <f aca="false">IF(AND(K$3&gt;=$E40,K$3&lt;=$F40),1,"")</f>
        <v/>
      </c>
      <c r="L40" s="43" t="n">
        <f aca="false">IF(AND(L$3&gt;=$E40,L$3&lt;=$F40),1,"")</f>
        <v>1</v>
      </c>
      <c r="M40" s="43" t="n">
        <f aca="false">IF(AND(M$3&gt;=$E40,M$3&lt;=$F40),1,"")</f>
        <v>1</v>
      </c>
      <c r="N40" s="43" t="n">
        <f aca="false">IF(AND(N$3&gt;=$E40,N$3&lt;=$F40),1,"")</f>
        <v>1</v>
      </c>
      <c r="O40" s="43" t="str">
        <f aca="false">IF(AND(O$3&gt;=$E40,O$3&lt;=$F40),1,"")</f>
        <v/>
      </c>
      <c r="P40" s="43" t="str">
        <f aca="false">IF(AND(P$3&gt;=$E40,P$3&lt;=$F40),1,"")</f>
        <v/>
      </c>
      <c r="Q40" s="43" t="str">
        <f aca="false">IF(AND(Q$3&gt;=$E40,Q$3&lt;=$F40),1,"")</f>
        <v/>
      </c>
      <c r="R40" s="43" t="str">
        <f aca="false">IF(AND(R$3&gt;=$E40,R$3&lt;=$F40),1,"")</f>
        <v/>
      </c>
      <c r="S40" s="43" t="str">
        <f aca="false">IF(AND(S$3&gt;=$E40,S$3&lt;=$F40),1,"")</f>
        <v/>
      </c>
      <c r="T40" s="43" t="str">
        <f aca="false">IF(AND(T$3&gt;=$E40,T$3&lt;=$F40),1,"")</f>
        <v/>
      </c>
      <c r="U40" s="43" t="str">
        <f aca="false">IF(AND(U$3&gt;=$E40,U$3&lt;=$F40),1,"")</f>
        <v/>
      </c>
      <c r="V40" s="43" t="str">
        <f aca="false">IF(AND(V$3&gt;=$E40,V$3&lt;=$F40),1,"")</f>
        <v/>
      </c>
      <c r="W40" s="43" t="str">
        <f aca="false">IF(AND(W$3&gt;=$E40,W$3&lt;=$F40),1,"")</f>
        <v/>
      </c>
      <c r="X40" s="43" t="str">
        <f aca="false">IF(AND(X$3&gt;=$E40,X$3&lt;=$F40),1,"")</f>
        <v/>
      </c>
      <c r="Y40" s="43" t="str">
        <f aca="false">IF(AND(Y$3&gt;=$E40,Y$3&lt;=$F40),1,"")</f>
        <v/>
      </c>
      <c r="Z40" s="43" t="str">
        <f aca="false">IF(AND(Z$3&gt;=$E40,Z$3&lt;=$F40),1,"")</f>
        <v/>
      </c>
    </row>
    <row r="41" customFormat="false" ht="23.85" hidden="false" customHeight="false" outlineLevel="0" collapsed="false">
      <c r="A41" s="42" t="str">
        <f aca="false">Roadmap!A41</f>
        <v>2.07</v>
      </c>
      <c r="B41" s="42" t="str">
        <f aca="false">Roadmap!B41</f>
        <v>P2 Pilot</v>
      </c>
      <c r="C41" s="28" t="str">
        <f aca="false">Roadmap!D41</f>
        <v>Furniture and interior designer pilot with 1 designer and 1 retailer</v>
      </c>
      <c r="D41" s="28" t="str">
        <f aca="false">Roadmap!G41</f>
        <v>Partnerships Lead (Developers &amp; Supply)</v>
      </c>
      <c r="E41" s="42" t="n">
        <f aca="false">Roadmap!I41</f>
        <v>7</v>
      </c>
      <c r="F41" s="42" t="n">
        <f aca="false">Roadmap!K41</f>
        <v>9</v>
      </c>
      <c r="G41" s="43" t="str">
        <f aca="false">IF(AND(G$3&gt;=$E41,G$3&lt;=$F41),1,"")</f>
        <v/>
      </c>
      <c r="H41" s="43" t="str">
        <f aca="false">IF(AND(H$3&gt;=$E41,H$3&lt;=$F41),1,"")</f>
        <v/>
      </c>
      <c r="I41" s="43" t="str">
        <f aca="false">IF(AND(I$3&gt;=$E41,I$3&lt;=$F41),1,"")</f>
        <v/>
      </c>
      <c r="J41" s="43" t="str">
        <f aca="false">IF(AND(J$3&gt;=$E41,J$3&lt;=$F41),1,"")</f>
        <v/>
      </c>
      <c r="K41" s="43" t="str">
        <f aca="false">IF(AND(K$3&gt;=$E41,K$3&lt;=$F41),1,"")</f>
        <v/>
      </c>
      <c r="L41" s="43" t="str">
        <f aca="false">IF(AND(L$3&gt;=$E41,L$3&lt;=$F41),1,"")</f>
        <v/>
      </c>
      <c r="M41" s="43" t="n">
        <f aca="false">IF(AND(M$3&gt;=$E41,M$3&lt;=$F41),1,"")</f>
        <v>1</v>
      </c>
      <c r="N41" s="43" t="n">
        <f aca="false">IF(AND(N$3&gt;=$E41,N$3&lt;=$F41),1,"")</f>
        <v>1</v>
      </c>
      <c r="O41" s="43" t="n">
        <f aca="false">IF(AND(O$3&gt;=$E41,O$3&lt;=$F41),1,"")</f>
        <v>1</v>
      </c>
      <c r="P41" s="43" t="str">
        <f aca="false">IF(AND(P$3&gt;=$E41,P$3&lt;=$F41),1,"")</f>
        <v/>
      </c>
      <c r="Q41" s="43" t="str">
        <f aca="false">IF(AND(Q$3&gt;=$E41,Q$3&lt;=$F41),1,"")</f>
        <v/>
      </c>
      <c r="R41" s="43" t="str">
        <f aca="false">IF(AND(R$3&gt;=$E41,R$3&lt;=$F41),1,"")</f>
        <v/>
      </c>
      <c r="S41" s="43" t="str">
        <f aca="false">IF(AND(S$3&gt;=$E41,S$3&lt;=$F41),1,"")</f>
        <v/>
      </c>
      <c r="T41" s="43" t="str">
        <f aca="false">IF(AND(T$3&gt;=$E41,T$3&lt;=$F41),1,"")</f>
        <v/>
      </c>
      <c r="U41" s="43" t="str">
        <f aca="false">IF(AND(U$3&gt;=$E41,U$3&lt;=$F41),1,"")</f>
        <v/>
      </c>
      <c r="V41" s="43" t="str">
        <f aca="false">IF(AND(V$3&gt;=$E41,V$3&lt;=$F41),1,"")</f>
        <v/>
      </c>
      <c r="W41" s="43" t="str">
        <f aca="false">IF(AND(W$3&gt;=$E41,W$3&lt;=$F41),1,"")</f>
        <v/>
      </c>
      <c r="X41" s="43" t="str">
        <f aca="false">IF(AND(X$3&gt;=$E41,X$3&lt;=$F41),1,"")</f>
        <v/>
      </c>
      <c r="Y41" s="43" t="str">
        <f aca="false">IF(AND(Y$3&gt;=$E41,Y$3&lt;=$F41),1,"")</f>
        <v/>
      </c>
      <c r="Z41" s="43" t="str">
        <f aca="false">IF(AND(Z$3&gt;=$E41,Z$3&lt;=$F41),1,"")</f>
        <v/>
      </c>
    </row>
    <row r="42" customFormat="false" ht="23.85" hidden="false" customHeight="false" outlineLevel="0" collapsed="false">
      <c r="A42" s="42" t="str">
        <f aca="false">Roadmap!A42</f>
        <v>2.08</v>
      </c>
      <c r="B42" s="42" t="str">
        <f aca="false">Roadmap!B42</f>
        <v>P2 Pilot</v>
      </c>
      <c r="C42" s="28" t="str">
        <f aca="false">Roadmap!D42</f>
        <v>Referral programme v0 (licensed referrers only; residents only if the legal opinion allows)</v>
      </c>
      <c r="D42" s="28" t="str">
        <f aca="false">Roadmap!G42</f>
        <v>Broker-Manager (Head of Brokerage)</v>
      </c>
      <c r="E42" s="42" t="n">
        <f aca="false">Roadmap!I42</f>
        <v>6</v>
      </c>
      <c r="F42" s="42" t="n">
        <f aca="false">Roadmap!K42</f>
        <v>8</v>
      </c>
      <c r="G42" s="43" t="str">
        <f aca="false">IF(AND(G$3&gt;=$E42,G$3&lt;=$F42),1,"")</f>
        <v/>
      </c>
      <c r="H42" s="43" t="str">
        <f aca="false">IF(AND(H$3&gt;=$E42,H$3&lt;=$F42),1,"")</f>
        <v/>
      </c>
      <c r="I42" s="43" t="str">
        <f aca="false">IF(AND(I$3&gt;=$E42,I$3&lt;=$F42),1,"")</f>
        <v/>
      </c>
      <c r="J42" s="43" t="str">
        <f aca="false">IF(AND(J$3&gt;=$E42,J$3&lt;=$F42),1,"")</f>
        <v/>
      </c>
      <c r="K42" s="43" t="str">
        <f aca="false">IF(AND(K$3&gt;=$E42,K$3&lt;=$F42),1,"")</f>
        <v/>
      </c>
      <c r="L42" s="43" t="n">
        <f aca="false">IF(AND(L$3&gt;=$E42,L$3&lt;=$F42),1,"")</f>
        <v>1</v>
      </c>
      <c r="M42" s="43" t="n">
        <f aca="false">IF(AND(M$3&gt;=$E42,M$3&lt;=$F42),1,"")</f>
        <v>1</v>
      </c>
      <c r="N42" s="43" t="n">
        <f aca="false">IF(AND(N$3&gt;=$E42,N$3&lt;=$F42),1,"")</f>
        <v>1</v>
      </c>
      <c r="O42" s="43" t="str">
        <f aca="false">IF(AND(O$3&gt;=$E42,O$3&lt;=$F42),1,"")</f>
        <v/>
      </c>
      <c r="P42" s="43" t="str">
        <f aca="false">IF(AND(P$3&gt;=$E42,P$3&lt;=$F42),1,"")</f>
        <v/>
      </c>
      <c r="Q42" s="43" t="str">
        <f aca="false">IF(AND(Q$3&gt;=$E42,Q$3&lt;=$F42),1,"")</f>
        <v/>
      </c>
      <c r="R42" s="43" t="str">
        <f aca="false">IF(AND(R$3&gt;=$E42,R$3&lt;=$F42),1,"")</f>
        <v/>
      </c>
      <c r="S42" s="43" t="str">
        <f aca="false">IF(AND(S$3&gt;=$E42,S$3&lt;=$F42),1,"")</f>
        <v/>
      </c>
      <c r="T42" s="43" t="str">
        <f aca="false">IF(AND(T$3&gt;=$E42,T$3&lt;=$F42),1,"")</f>
        <v/>
      </c>
      <c r="U42" s="43" t="str">
        <f aca="false">IF(AND(U$3&gt;=$E42,U$3&lt;=$F42),1,"")</f>
        <v/>
      </c>
      <c r="V42" s="43" t="str">
        <f aca="false">IF(AND(V$3&gt;=$E42,V$3&lt;=$F42),1,"")</f>
        <v/>
      </c>
      <c r="W42" s="43" t="str">
        <f aca="false">IF(AND(W$3&gt;=$E42,W$3&lt;=$F42),1,"")</f>
        <v/>
      </c>
      <c r="X42" s="43" t="str">
        <f aca="false">IF(AND(X$3&gt;=$E42,X$3&lt;=$F42),1,"")</f>
        <v/>
      </c>
      <c r="Y42" s="43" t="str">
        <f aca="false">IF(AND(Y$3&gt;=$E42,Y$3&lt;=$F42),1,"")</f>
        <v/>
      </c>
      <c r="Z42" s="43" t="str">
        <f aca="false">IF(AND(Z$3&gt;=$E42,Z$3&lt;=$F42),1,"")</f>
        <v/>
      </c>
    </row>
    <row r="43" customFormat="false" ht="23.85" hidden="false" customHeight="false" outlineLevel="0" collapsed="false">
      <c r="A43" s="42" t="str">
        <f aca="false">Roadmap!A43</f>
        <v>2.09</v>
      </c>
      <c r="B43" s="42" t="str">
        <f aca="false">Roadmap!B43</f>
        <v>P2 Pilot</v>
      </c>
      <c r="C43" s="28" t="str">
        <f aca="false">Roadmap!D43</f>
        <v>Operations playbook: enquiry to KYC to reservation to SPA to Oqood to tracker</v>
      </c>
      <c r="D43" s="28" t="str">
        <f aca="false">Roadmap!G43</f>
        <v>Broker-Manager (Head of Brokerage)</v>
      </c>
      <c r="E43" s="42" t="n">
        <f aca="false">Roadmap!I43</f>
        <v>6</v>
      </c>
      <c r="F43" s="42" t="n">
        <f aca="false">Roadmap!K43</f>
        <v>8</v>
      </c>
      <c r="G43" s="43" t="str">
        <f aca="false">IF(AND(G$3&gt;=$E43,G$3&lt;=$F43),1,"")</f>
        <v/>
      </c>
      <c r="H43" s="43" t="str">
        <f aca="false">IF(AND(H$3&gt;=$E43,H$3&lt;=$F43),1,"")</f>
        <v/>
      </c>
      <c r="I43" s="43" t="str">
        <f aca="false">IF(AND(I$3&gt;=$E43,I$3&lt;=$F43),1,"")</f>
        <v/>
      </c>
      <c r="J43" s="43" t="str">
        <f aca="false">IF(AND(J$3&gt;=$E43,J$3&lt;=$F43),1,"")</f>
        <v/>
      </c>
      <c r="K43" s="43" t="str">
        <f aca="false">IF(AND(K$3&gt;=$E43,K$3&lt;=$F43),1,"")</f>
        <v/>
      </c>
      <c r="L43" s="43" t="n">
        <f aca="false">IF(AND(L$3&gt;=$E43,L$3&lt;=$F43),1,"")</f>
        <v>1</v>
      </c>
      <c r="M43" s="43" t="n">
        <f aca="false">IF(AND(M$3&gt;=$E43,M$3&lt;=$F43),1,"")</f>
        <v>1</v>
      </c>
      <c r="N43" s="43" t="n">
        <f aca="false">IF(AND(N$3&gt;=$E43,N$3&lt;=$F43),1,"")</f>
        <v>1</v>
      </c>
      <c r="O43" s="43" t="str">
        <f aca="false">IF(AND(O$3&gt;=$E43,O$3&lt;=$F43),1,"")</f>
        <v/>
      </c>
      <c r="P43" s="43" t="str">
        <f aca="false">IF(AND(P$3&gt;=$E43,P$3&lt;=$F43),1,"")</f>
        <v/>
      </c>
      <c r="Q43" s="43" t="str">
        <f aca="false">IF(AND(Q$3&gt;=$E43,Q$3&lt;=$F43),1,"")</f>
        <v/>
      </c>
      <c r="R43" s="43" t="str">
        <f aca="false">IF(AND(R$3&gt;=$E43,R$3&lt;=$F43),1,"")</f>
        <v/>
      </c>
      <c r="S43" s="43" t="str">
        <f aca="false">IF(AND(S$3&gt;=$E43,S$3&lt;=$F43),1,"")</f>
        <v/>
      </c>
      <c r="T43" s="43" t="str">
        <f aca="false">IF(AND(T$3&gt;=$E43,T$3&lt;=$F43),1,"")</f>
        <v/>
      </c>
      <c r="U43" s="43" t="str">
        <f aca="false">IF(AND(U$3&gt;=$E43,U$3&lt;=$F43),1,"")</f>
        <v/>
      </c>
      <c r="V43" s="43" t="str">
        <f aca="false">IF(AND(V$3&gt;=$E43,V$3&lt;=$F43),1,"")</f>
        <v/>
      </c>
      <c r="W43" s="43" t="str">
        <f aca="false">IF(AND(W$3&gt;=$E43,W$3&lt;=$F43),1,"")</f>
        <v/>
      </c>
      <c r="X43" s="43" t="str">
        <f aca="false">IF(AND(X$3&gt;=$E43,X$3&lt;=$F43),1,"")</f>
        <v/>
      </c>
      <c r="Y43" s="43" t="str">
        <f aca="false">IF(AND(Y$3&gt;=$E43,Y$3&lt;=$F43),1,"")</f>
        <v/>
      </c>
      <c r="Z43" s="43" t="str">
        <f aca="false">IF(AND(Z$3&gt;=$E43,Z$3&lt;=$F43),1,"")</f>
        <v/>
      </c>
    </row>
    <row r="44" customFormat="false" ht="15" hidden="false" customHeight="false" outlineLevel="0" collapsed="false">
      <c r="A44" s="42" t="str">
        <f aca="false">Roadmap!A44</f>
        <v>2.10</v>
      </c>
      <c r="B44" s="42" t="str">
        <f aca="false">Roadmap!B44</f>
        <v>P2 Pilot</v>
      </c>
      <c r="C44" s="28" t="str">
        <f aca="false">Roadmap!D44</f>
        <v>Recruit pilot cohort: 150 sign-ups, 5-10 referrers, 150+ units live</v>
      </c>
      <c r="D44" s="28" t="str">
        <f aca="false">Roadmap!G44</f>
        <v>Head of Growth</v>
      </c>
      <c r="E44" s="42" t="n">
        <f aca="false">Roadmap!I44</f>
        <v>7</v>
      </c>
      <c r="F44" s="42" t="n">
        <f aca="false">Roadmap!K44</f>
        <v>8</v>
      </c>
      <c r="G44" s="43" t="str">
        <f aca="false">IF(AND(G$3&gt;=$E44,G$3&lt;=$F44),1,"")</f>
        <v/>
      </c>
      <c r="H44" s="43" t="str">
        <f aca="false">IF(AND(H$3&gt;=$E44,H$3&lt;=$F44),1,"")</f>
        <v/>
      </c>
      <c r="I44" s="43" t="str">
        <f aca="false">IF(AND(I$3&gt;=$E44,I$3&lt;=$F44),1,"")</f>
        <v/>
      </c>
      <c r="J44" s="43" t="str">
        <f aca="false">IF(AND(J$3&gt;=$E44,J$3&lt;=$F44),1,"")</f>
        <v/>
      </c>
      <c r="K44" s="43" t="str">
        <f aca="false">IF(AND(K$3&gt;=$E44,K$3&lt;=$F44),1,"")</f>
        <v/>
      </c>
      <c r="L44" s="43" t="str">
        <f aca="false">IF(AND(L$3&gt;=$E44,L$3&lt;=$F44),1,"")</f>
        <v/>
      </c>
      <c r="M44" s="43" t="n">
        <f aca="false">IF(AND(M$3&gt;=$E44,M$3&lt;=$F44),1,"")</f>
        <v>1</v>
      </c>
      <c r="N44" s="43" t="n">
        <f aca="false">IF(AND(N$3&gt;=$E44,N$3&lt;=$F44),1,"")</f>
        <v>1</v>
      </c>
      <c r="O44" s="43" t="str">
        <f aca="false">IF(AND(O$3&gt;=$E44,O$3&lt;=$F44),1,"")</f>
        <v/>
      </c>
      <c r="P44" s="43" t="str">
        <f aca="false">IF(AND(P$3&gt;=$E44,P$3&lt;=$F44),1,"")</f>
        <v/>
      </c>
      <c r="Q44" s="43" t="str">
        <f aca="false">IF(AND(Q$3&gt;=$E44,Q$3&lt;=$F44),1,"")</f>
        <v/>
      </c>
      <c r="R44" s="43" t="str">
        <f aca="false">IF(AND(R$3&gt;=$E44,R$3&lt;=$F44),1,"")</f>
        <v/>
      </c>
      <c r="S44" s="43" t="str">
        <f aca="false">IF(AND(S$3&gt;=$E44,S$3&lt;=$F44),1,"")</f>
        <v/>
      </c>
      <c r="T44" s="43" t="str">
        <f aca="false">IF(AND(T$3&gt;=$E44,T$3&lt;=$F44),1,"")</f>
        <v/>
      </c>
      <c r="U44" s="43" t="str">
        <f aca="false">IF(AND(U$3&gt;=$E44,U$3&lt;=$F44),1,"")</f>
        <v/>
      </c>
      <c r="V44" s="43" t="str">
        <f aca="false">IF(AND(V$3&gt;=$E44,V$3&lt;=$F44),1,"")</f>
        <v/>
      </c>
      <c r="W44" s="43" t="str">
        <f aca="false">IF(AND(W$3&gt;=$E44,W$3&lt;=$F44),1,"")</f>
        <v/>
      </c>
      <c r="X44" s="43" t="str">
        <f aca="false">IF(AND(X$3&gt;=$E44,X$3&lt;=$F44),1,"")</f>
        <v/>
      </c>
      <c r="Y44" s="43" t="str">
        <f aca="false">IF(AND(Y$3&gt;=$E44,Y$3&lt;=$F44),1,"")</f>
        <v/>
      </c>
      <c r="Z44" s="43" t="str">
        <f aca="false">IF(AND(Z$3&gt;=$E44,Z$3&lt;=$F44),1,"")</f>
        <v/>
      </c>
    </row>
    <row r="45" customFormat="false" ht="15" hidden="false" customHeight="false" outlineLevel="0" collapsed="false">
      <c r="A45" s="42" t="str">
        <f aca="false">Roadmap!A45</f>
        <v>2.11</v>
      </c>
      <c r="B45" s="42" t="str">
        <f aca="false">Roadmap!B45</f>
        <v>P2 Pilot</v>
      </c>
      <c r="C45" s="28" t="str">
        <f aca="false">Roadmap!D45</f>
        <v>Weekly KPI dashboard: leads, reservations, CAC, NPS</v>
      </c>
      <c r="D45" s="28" t="str">
        <f aca="false">Roadmap!G45</f>
        <v>Data Analyst</v>
      </c>
      <c r="E45" s="42" t="n">
        <f aca="false">Roadmap!I45</f>
        <v>8</v>
      </c>
      <c r="F45" s="42" t="n">
        <f aca="false">Roadmap!K45</f>
        <v>8</v>
      </c>
      <c r="G45" s="43" t="str">
        <f aca="false">IF(AND(G$3&gt;=$E45,G$3&lt;=$F45),1,"")</f>
        <v/>
      </c>
      <c r="H45" s="43" t="str">
        <f aca="false">IF(AND(H$3&gt;=$E45,H$3&lt;=$F45),1,"")</f>
        <v/>
      </c>
      <c r="I45" s="43" t="str">
        <f aca="false">IF(AND(I$3&gt;=$E45,I$3&lt;=$F45),1,"")</f>
        <v/>
      </c>
      <c r="J45" s="43" t="str">
        <f aca="false">IF(AND(J$3&gt;=$E45,J$3&lt;=$F45),1,"")</f>
        <v/>
      </c>
      <c r="K45" s="43" t="str">
        <f aca="false">IF(AND(K$3&gt;=$E45,K$3&lt;=$F45),1,"")</f>
        <v/>
      </c>
      <c r="L45" s="43" t="str">
        <f aca="false">IF(AND(L$3&gt;=$E45,L$3&lt;=$F45),1,"")</f>
        <v/>
      </c>
      <c r="M45" s="43" t="str">
        <f aca="false">IF(AND(M$3&gt;=$E45,M$3&lt;=$F45),1,"")</f>
        <v/>
      </c>
      <c r="N45" s="43" t="n">
        <f aca="false">IF(AND(N$3&gt;=$E45,N$3&lt;=$F45),1,"")</f>
        <v>1</v>
      </c>
      <c r="O45" s="43" t="str">
        <f aca="false">IF(AND(O$3&gt;=$E45,O$3&lt;=$F45),1,"")</f>
        <v/>
      </c>
      <c r="P45" s="43" t="str">
        <f aca="false">IF(AND(P$3&gt;=$E45,P$3&lt;=$F45),1,"")</f>
        <v/>
      </c>
      <c r="Q45" s="43" t="str">
        <f aca="false">IF(AND(Q$3&gt;=$E45,Q$3&lt;=$F45),1,"")</f>
        <v/>
      </c>
      <c r="R45" s="43" t="str">
        <f aca="false">IF(AND(R$3&gt;=$E45,R$3&lt;=$F45),1,"")</f>
        <v/>
      </c>
      <c r="S45" s="43" t="str">
        <f aca="false">IF(AND(S$3&gt;=$E45,S$3&lt;=$F45),1,"")</f>
        <v/>
      </c>
      <c r="T45" s="43" t="str">
        <f aca="false">IF(AND(T$3&gt;=$E45,T$3&lt;=$F45),1,"")</f>
        <v/>
      </c>
      <c r="U45" s="43" t="str">
        <f aca="false">IF(AND(U$3&gt;=$E45,U$3&lt;=$F45),1,"")</f>
        <v/>
      </c>
      <c r="V45" s="43" t="str">
        <f aca="false">IF(AND(V$3&gt;=$E45,V$3&lt;=$F45),1,"")</f>
        <v/>
      </c>
      <c r="W45" s="43" t="str">
        <f aca="false">IF(AND(W$3&gt;=$E45,W$3&lt;=$F45),1,"")</f>
        <v/>
      </c>
      <c r="X45" s="43" t="str">
        <f aca="false">IF(AND(X$3&gt;=$E45,X$3&lt;=$F45),1,"")</f>
        <v/>
      </c>
      <c r="Y45" s="43" t="str">
        <f aca="false">IF(AND(Y$3&gt;=$E45,Y$3&lt;=$F45),1,"")</f>
        <v/>
      </c>
      <c r="Z45" s="43" t="str">
        <f aca="false">IF(AND(Z$3&gt;=$E45,Z$3&lt;=$F45),1,"")</f>
        <v/>
      </c>
    </row>
    <row r="46" customFormat="false" ht="15" hidden="false" customHeight="false" outlineLevel="0" collapsed="false">
      <c r="A46" s="42" t="str">
        <f aca="false">Roadmap!A46</f>
        <v>2.12</v>
      </c>
      <c r="B46" s="42" t="str">
        <f aca="false">Roadmap!B46</f>
        <v>P2 Pilot</v>
      </c>
      <c r="C46" s="28" t="str">
        <f aca="false">Roadmap!D46</f>
        <v>Internal dry run: 5 end-to-end test journeys</v>
      </c>
      <c r="D46" s="28" t="str">
        <f aca="false">Roadmap!G46</f>
        <v>Broker-Manager (Head of Brokerage)</v>
      </c>
      <c r="E46" s="42" t="n">
        <f aca="false">Roadmap!I46</f>
        <v>8</v>
      </c>
      <c r="F46" s="42" t="n">
        <f aca="false">Roadmap!K46</f>
        <v>8</v>
      </c>
      <c r="G46" s="43" t="str">
        <f aca="false">IF(AND(G$3&gt;=$E46,G$3&lt;=$F46),1,"")</f>
        <v/>
      </c>
      <c r="H46" s="43" t="str">
        <f aca="false">IF(AND(H$3&gt;=$E46,H$3&lt;=$F46),1,"")</f>
        <v/>
      </c>
      <c r="I46" s="43" t="str">
        <f aca="false">IF(AND(I$3&gt;=$E46,I$3&lt;=$F46),1,"")</f>
        <v/>
      </c>
      <c r="J46" s="43" t="str">
        <f aca="false">IF(AND(J$3&gt;=$E46,J$3&lt;=$F46),1,"")</f>
        <v/>
      </c>
      <c r="K46" s="43" t="str">
        <f aca="false">IF(AND(K$3&gt;=$E46,K$3&lt;=$F46),1,"")</f>
        <v/>
      </c>
      <c r="L46" s="43" t="str">
        <f aca="false">IF(AND(L$3&gt;=$E46,L$3&lt;=$F46),1,"")</f>
        <v/>
      </c>
      <c r="M46" s="43" t="str">
        <f aca="false">IF(AND(M$3&gt;=$E46,M$3&lt;=$F46),1,"")</f>
        <v/>
      </c>
      <c r="N46" s="43" t="n">
        <f aca="false">IF(AND(N$3&gt;=$E46,N$3&lt;=$F46),1,"")</f>
        <v>1</v>
      </c>
      <c r="O46" s="43" t="str">
        <f aca="false">IF(AND(O$3&gt;=$E46,O$3&lt;=$F46),1,"")</f>
        <v/>
      </c>
      <c r="P46" s="43" t="str">
        <f aca="false">IF(AND(P$3&gt;=$E46,P$3&lt;=$F46),1,"")</f>
        <v/>
      </c>
      <c r="Q46" s="43" t="str">
        <f aca="false">IF(AND(Q$3&gt;=$E46,Q$3&lt;=$F46),1,"")</f>
        <v/>
      </c>
      <c r="R46" s="43" t="str">
        <f aca="false">IF(AND(R$3&gt;=$E46,R$3&lt;=$F46),1,"")</f>
        <v/>
      </c>
      <c r="S46" s="43" t="str">
        <f aca="false">IF(AND(S$3&gt;=$E46,S$3&lt;=$F46),1,"")</f>
        <v/>
      </c>
      <c r="T46" s="43" t="str">
        <f aca="false">IF(AND(T$3&gt;=$E46,T$3&lt;=$F46),1,"")</f>
        <v/>
      </c>
      <c r="U46" s="43" t="str">
        <f aca="false">IF(AND(U$3&gt;=$E46,U$3&lt;=$F46),1,"")</f>
        <v/>
      </c>
      <c r="V46" s="43" t="str">
        <f aca="false">IF(AND(V$3&gt;=$E46,V$3&lt;=$F46),1,"")</f>
        <v/>
      </c>
      <c r="W46" s="43" t="str">
        <f aca="false">IF(AND(W$3&gt;=$E46,W$3&lt;=$F46),1,"")</f>
        <v/>
      </c>
      <c r="X46" s="43" t="str">
        <f aca="false">IF(AND(X$3&gt;=$E46,X$3&lt;=$F46),1,"")</f>
        <v/>
      </c>
      <c r="Y46" s="43" t="str">
        <f aca="false">IF(AND(Y$3&gt;=$E46,Y$3&lt;=$F46),1,"")</f>
        <v/>
      </c>
      <c r="Z46" s="43" t="str">
        <f aca="false">IF(AND(Z$3&gt;=$E46,Z$3&lt;=$F46),1,"")</f>
        <v/>
      </c>
    </row>
    <row r="47" customFormat="false" ht="15" hidden="false" customHeight="false" outlineLevel="0" collapsed="false">
      <c r="A47" s="42" t="str">
        <f aca="false">Roadmap!A47</f>
        <v>2.13</v>
      </c>
      <c r="B47" s="42" t="str">
        <f aca="false">Roadmap!B47</f>
        <v>P2 Pilot</v>
      </c>
      <c r="C47" s="28" t="str">
        <f aca="false">Roadmap!D47</f>
        <v>GATE G1: pilot-ready decision</v>
      </c>
      <c r="D47" s="28" t="str">
        <f aca="false">Roadmap!G47</f>
        <v>Founder &amp; CEO</v>
      </c>
      <c r="E47" s="42" t="n">
        <f aca="false">Roadmap!I47</f>
        <v>8</v>
      </c>
      <c r="F47" s="42" t="n">
        <f aca="false">Roadmap!K47</f>
        <v>8</v>
      </c>
      <c r="G47" s="43" t="str">
        <f aca="false">IF(AND(G$3&gt;=$E47,G$3&lt;=$F47),1,"")</f>
        <v/>
      </c>
      <c r="H47" s="43" t="str">
        <f aca="false">IF(AND(H$3&gt;=$E47,H$3&lt;=$F47),1,"")</f>
        <v/>
      </c>
      <c r="I47" s="43" t="str">
        <f aca="false">IF(AND(I$3&gt;=$E47,I$3&lt;=$F47),1,"")</f>
        <v/>
      </c>
      <c r="J47" s="43" t="str">
        <f aca="false">IF(AND(J$3&gt;=$E47,J$3&lt;=$F47),1,"")</f>
        <v/>
      </c>
      <c r="K47" s="43" t="str">
        <f aca="false">IF(AND(K$3&gt;=$E47,K$3&lt;=$F47),1,"")</f>
        <v/>
      </c>
      <c r="L47" s="43" t="str">
        <f aca="false">IF(AND(L$3&gt;=$E47,L$3&lt;=$F47),1,"")</f>
        <v/>
      </c>
      <c r="M47" s="43" t="str">
        <f aca="false">IF(AND(M$3&gt;=$E47,M$3&lt;=$F47),1,"")</f>
        <v/>
      </c>
      <c r="N47" s="43" t="n">
        <f aca="false">IF(AND(N$3&gt;=$E47,N$3&lt;=$F47),1,"")</f>
        <v>1</v>
      </c>
      <c r="O47" s="43" t="str">
        <f aca="false">IF(AND(O$3&gt;=$E47,O$3&lt;=$F47),1,"")</f>
        <v/>
      </c>
      <c r="P47" s="43" t="str">
        <f aca="false">IF(AND(P$3&gt;=$E47,P$3&lt;=$F47),1,"")</f>
        <v/>
      </c>
      <c r="Q47" s="43" t="str">
        <f aca="false">IF(AND(Q$3&gt;=$E47,Q$3&lt;=$F47),1,"")</f>
        <v/>
      </c>
      <c r="R47" s="43" t="str">
        <f aca="false">IF(AND(R$3&gt;=$E47,R$3&lt;=$F47),1,"")</f>
        <v/>
      </c>
      <c r="S47" s="43" t="str">
        <f aca="false">IF(AND(S$3&gt;=$E47,S$3&lt;=$F47),1,"")</f>
        <v/>
      </c>
      <c r="T47" s="43" t="str">
        <f aca="false">IF(AND(T$3&gt;=$E47,T$3&lt;=$F47),1,"")</f>
        <v/>
      </c>
      <c r="U47" s="43" t="str">
        <f aca="false">IF(AND(U$3&gt;=$E47,U$3&lt;=$F47),1,"")</f>
        <v/>
      </c>
      <c r="V47" s="43" t="str">
        <f aca="false">IF(AND(V$3&gt;=$E47,V$3&lt;=$F47),1,"")</f>
        <v/>
      </c>
      <c r="W47" s="43" t="str">
        <f aca="false">IF(AND(W$3&gt;=$E47,W$3&lt;=$F47),1,"")</f>
        <v/>
      </c>
      <c r="X47" s="43" t="str">
        <f aca="false">IF(AND(X$3&gt;=$E47,X$3&lt;=$F47),1,"")</f>
        <v/>
      </c>
      <c r="Y47" s="43" t="str">
        <f aca="false">IF(AND(Y$3&gt;=$E47,Y$3&lt;=$F47),1,"")</f>
        <v/>
      </c>
      <c r="Z47" s="43" t="str">
        <f aca="false">IF(AND(Z$3&gt;=$E47,Z$3&lt;=$F47),1,"")</f>
        <v/>
      </c>
    </row>
    <row r="48" customFormat="false" ht="15" hidden="false" customHeight="false" outlineLevel="0" collapsed="false">
      <c r="A48" s="42" t="str">
        <f aca="false">Roadmap!A48</f>
        <v>2.14</v>
      </c>
      <c r="B48" s="42" t="str">
        <f aca="false">Roadmap!B48</f>
        <v>P2 Pilot</v>
      </c>
      <c r="C48" s="28" t="str">
        <f aca="false">Roadmap!D48</f>
        <v>MILESTONE M2: pilot go-live</v>
      </c>
      <c r="D48" s="28" t="str">
        <f aca="false">Roadmap!G48</f>
        <v>Founder &amp; CEO</v>
      </c>
      <c r="E48" s="42" t="n">
        <f aca="false">Roadmap!I48</f>
        <v>9</v>
      </c>
      <c r="F48" s="42" t="n">
        <f aca="false">Roadmap!K48</f>
        <v>9</v>
      </c>
      <c r="G48" s="43" t="str">
        <f aca="false">IF(AND(G$3&gt;=$E48,G$3&lt;=$F48),1,"")</f>
        <v/>
      </c>
      <c r="H48" s="43" t="str">
        <f aca="false">IF(AND(H$3&gt;=$E48,H$3&lt;=$F48),1,"")</f>
        <v/>
      </c>
      <c r="I48" s="43" t="str">
        <f aca="false">IF(AND(I$3&gt;=$E48,I$3&lt;=$F48),1,"")</f>
        <v/>
      </c>
      <c r="J48" s="43" t="str">
        <f aca="false">IF(AND(J$3&gt;=$E48,J$3&lt;=$F48),1,"")</f>
        <v/>
      </c>
      <c r="K48" s="43" t="str">
        <f aca="false">IF(AND(K$3&gt;=$E48,K$3&lt;=$F48),1,"")</f>
        <v/>
      </c>
      <c r="L48" s="43" t="str">
        <f aca="false">IF(AND(L$3&gt;=$E48,L$3&lt;=$F48),1,"")</f>
        <v/>
      </c>
      <c r="M48" s="43" t="str">
        <f aca="false">IF(AND(M$3&gt;=$E48,M$3&lt;=$F48),1,"")</f>
        <v/>
      </c>
      <c r="N48" s="43" t="str">
        <f aca="false">IF(AND(N$3&gt;=$E48,N$3&lt;=$F48),1,"")</f>
        <v/>
      </c>
      <c r="O48" s="43" t="n">
        <f aca="false">IF(AND(O$3&gt;=$E48,O$3&lt;=$F48),1,"")</f>
        <v>1</v>
      </c>
      <c r="P48" s="43" t="str">
        <f aca="false">IF(AND(P$3&gt;=$E48,P$3&lt;=$F48),1,"")</f>
        <v/>
      </c>
      <c r="Q48" s="43" t="str">
        <f aca="false">IF(AND(Q$3&gt;=$E48,Q$3&lt;=$F48),1,"")</f>
        <v/>
      </c>
      <c r="R48" s="43" t="str">
        <f aca="false">IF(AND(R$3&gt;=$E48,R$3&lt;=$F48),1,"")</f>
        <v/>
      </c>
      <c r="S48" s="43" t="str">
        <f aca="false">IF(AND(S$3&gt;=$E48,S$3&lt;=$F48),1,"")</f>
        <v/>
      </c>
      <c r="T48" s="43" t="str">
        <f aca="false">IF(AND(T$3&gt;=$E48,T$3&lt;=$F48),1,"")</f>
        <v/>
      </c>
      <c r="U48" s="43" t="str">
        <f aca="false">IF(AND(U$3&gt;=$E48,U$3&lt;=$F48),1,"")</f>
        <v/>
      </c>
      <c r="V48" s="43" t="str">
        <f aca="false">IF(AND(V$3&gt;=$E48,V$3&lt;=$F48),1,"")</f>
        <v/>
      </c>
      <c r="W48" s="43" t="str">
        <f aca="false">IF(AND(W$3&gt;=$E48,W$3&lt;=$F48),1,"")</f>
        <v/>
      </c>
      <c r="X48" s="43" t="str">
        <f aca="false">IF(AND(X$3&gt;=$E48,X$3&lt;=$F48),1,"")</f>
        <v/>
      </c>
      <c r="Y48" s="43" t="str">
        <f aca="false">IF(AND(Y$3&gt;=$E48,Y$3&lt;=$F48),1,"")</f>
        <v/>
      </c>
      <c r="Z48" s="43" t="str">
        <f aca="false">IF(AND(Z$3&gt;=$E48,Z$3&lt;=$F48),1,"")</f>
        <v/>
      </c>
    </row>
    <row r="49" customFormat="false" ht="15" hidden="false" customHeight="false" outlineLevel="0" collapsed="false">
      <c r="A49" s="42" t="str">
        <f aca="false">Roadmap!A49</f>
        <v>2.15</v>
      </c>
      <c r="B49" s="42" t="str">
        <f aca="false">Roadmap!B49</f>
        <v>P2 Pilot</v>
      </c>
      <c r="C49" s="28" t="str">
        <f aca="false">Roadmap!D49</f>
        <v>Run the pilot with weekly KPI review</v>
      </c>
      <c r="D49" s="28" t="str">
        <f aca="false">Roadmap!G49</f>
        <v>Founder &amp; CEO</v>
      </c>
      <c r="E49" s="42" t="n">
        <f aca="false">Roadmap!I49</f>
        <v>9</v>
      </c>
      <c r="F49" s="42" t="n">
        <f aca="false">Roadmap!K49</f>
        <v>13</v>
      </c>
      <c r="G49" s="43" t="str">
        <f aca="false">IF(AND(G$3&gt;=$E49,G$3&lt;=$F49),1,"")</f>
        <v/>
      </c>
      <c r="H49" s="43" t="str">
        <f aca="false">IF(AND(H$3&gt;=$E49,H$3&lt;=$F49),1,"")</f>
        <v/>
      </c>
      <c r="I49" s="43" t="str">
        <f aca="false">IF(AND(I$3&gt;=$E49,I$3&lt;=$F49),1,"")</f>
        <v/>
      </c>
      <c r="J49" s="43" t="str">
        <f aca="false">IF(AND(J$3&gt;=$E49,J$3&lt;=$F49),1,"")</f>
        <v/>
      </c>
      <c r="K49" s="43" t="str">
        <f aca="false">IF(AND(K$3&gt;=$E49,K$3&lt;=$F49),1,"")</f>
        <v/>
      </c>
      <c r="L49" s="43" t="str">
        <f aca="false">IF(AND(L$3&gt;=$E49,L$3&lt;=$F49),1,"")</f>
        <v/>
      </c>
      <c r="M49" s="43" t="str">
        <f aca="false">IF(AND(M$3&gt;=$E49,M$3&lt;=$F49),1,"")</f>
        <v/>
      </c>
      <c r="N49" s="43" t="str">
        <f aca="false">IF(AND(N$3&gt;=$E49,N$3&lt;=$F49),1,"")</f>
        <v/>
      </c>
      <c r="O49" s="43" t="n">
        <f aca="false">IF(AND(O$3&gt;=$E49,O$3&lt;=$F49),1,"")</f>
        <v>1</v>
      </c>
      <c r="P49" s="43" t="n">
        <f aca="false">IF(AND(P$3&gt;=$E49,P$3&lt;=$F49),1,"")</f>
        <v>1</v>
      </c>
      <c r="Q49" s="43" t="n">
        <f aca="false">IF(AND(Q$3&gt;=$E49,Q$3&lt;=$F49),1,"")</f>
        <v>1</v>
      </c>
      <c r="R49" s="43" t="n">
        <f aca="false">IF(AND(R$3&gt;=$E49,R$3&lt;=$F49),1,"")</f>
        <v>1</v>
      </c>
      <c r="S49" s="43" t="n">
        <f aca="false">IF(AND(S$3&gt;=$E49,S$3&lt;=$F49),1,"")</f>
        <v>1</v>
      </c>
      <c r="T49" s="43" t="str">
        <f aca="false">IF(AND(T$3&gt;=$E49,T$3&lt;=$F49),1,"")</f>
        <v/>
      </c>
      <c r="U49" s="43" t="str">
        <f aca="false">IF(AND(U$3&gt;=$E49,U$3&lt;=$F49),1,"")</f>
        <v/>
      </c>
      <c r="V49" s="43" t="str">
        <f aca="false">IF(AND(V$3&gt;=$E49,V$3&lt;=$F49),1,"")</f>
        <v/>
      </c>
      <c r="W49" s="43" t="str">
        <f aca="false">IF(AND(W$3&gt;=$E49,W$3&lt;=$F49),1,"")</f>
        <v/>
      </c>
      <c r="X49" s="43" t="str">
        <f aca="false">IF(AND(X$3&gt;=$E49,X$3&lt;=$F49),1,"")</f>
        <v/>
      </c>
      <c r="Y49" s="43" t="str">
        <f aca="false">IF(AND(Y$3&gt;=$E49,Y$3&lt;=$F49),1,"")</f>
        <v/>
      </c>
      <c r="Z49" s="43" t="str">
        <f aca="false">IF(AND(Z$3&gt;=$E49,Z$3&lt;=$F49),1,"")</f>
        <v/>
      </c>
    </row>
    <row r="50" customFormat="false" ht="23.85" hidden="false" customHeight="false" outlineLevel="0" collapsed="false">
      <c r="A50" s="42" t="str">
        <f aca="false">Roadmap!A50</f>
        <v>2.16</v>
      </c>
      <c r="B50" s="42" t="str">
        <f aca="false">Roadmap!B50</f>
        <v>P2 Pilot</v>
      </c>
      <c r="C50" s="28" t="str">
        <f aca="false">Roadmap!D50</f>
        <v>Capture testimonials, case studies and partner confirmations</v>
      </c>
      <c r="D50" s="28" t="str">
        <f aca="false">Roadmap!G50</f>
        <v>Partnerships Lead (Developers &amp; Supply)</v>
      </c>
      <c r="E50" s="42" t="n">
        <f aca="false">Roadmap!I50</f>
        <v>11</v>
      </c>
      <c r="F50" s="42" t="n">
        <f aca="false">Roadmap!K50</f>
        <v>13</v>
      </c>
      <c r="G50" s="43" t="str">
        <f aca="false">IF(AND(G$3&gt;=$E50,G$3&lt;=$F50),1,"")</f>
        <v/>
      </c>
      <c r="H50" s="43" t="str">
        <f aca="false">IF(AND(H$3&gt;=$E50,H$3&lt;=$F50),1,"")</f>
        <v/>
      </c>
      <c r="I50" s="43" t="str">
        <f aca="false">IF(AND(I$3&gt;=$E50,I$3&lt;=$F50),1,"")</f>
        <v/>
      </c>
      <c r="J50" s="43" t="str">
        <f aca="false">IF(AND(J$3&gt;=$E50,J$3&lt;=$F50),1,"")</f>
        <v/>
      </c>
      <c r="K50" s="43" t="str">
        <f aca="false">IF(AND(K$3&gt;=$E50,K$3&lt;=$F50),1,"")</f>
        <v/>
      </c>
      <c r="L50" s="43" t="str">
        <f aca="false">IF(AND(L$3&gt;=$E50,L$3&lt;=$F50),1,"")</f>
        <v/>
      </c>
      <c r="M50" s="43" t="str">
        <f aca="false">IF(AND(M$3&gt;=$E50,M$3&lt;=$F50),1,"")</f>
        <v/>
      </c>
      <c r="N50" s="43" t="str">
        <f aca="false">IF(AND(N$3&gt;=$E50,N$3&lt;=$F50),1,"")</f>
        <v/>
      </c>
      <c r="O50" s="43" t="str">
        <f aca="false">IF(AND(O$3&gt;=$E50,O$3&lt;=$F50),1,"")</f>
        <v/>
      </c>
      <c r="P50" s="43" t="str">
        <f aca="false">IF(AND(P$3&gt;=$E50,P$3&lt;=$F50),1,"")</f>
        <v/>
      </c>
      <c r="Q50" s="43" t="n">
        <f aca="false">IF(AND(Q$3&gt;=$E50,Q$3&lt;=$F50),1,"")</f>
        <v>1</v>
      </c>
      <c r="R50" s="43" t="n">
        <f aca="false">IF(AND(R$3&gt;=$E50,R$3&lt;=$F50),1,"")</f>
        <v>1</v>
      </c>
      <c r="S50" s="43" t="n">
        <f aca="false">IF(AND(S$3&gt;=$E50,S$3&lt;=$F50),1,"")</f>
        <v>1</v>
      </c>
      <c r="T50" s="43" t="str">
        <f aca="false">IF(AND(T$3&gt;=$E50,T$3&lt;=$F50),1,"")</f>
        <v/>
      </c>
      <c r="U50" s="43" t="str">
        <f aca="false">IF(AND(U$3&gt;=$E50,U$3&lt;=$F50),1,"")</f>
        <v/>
      </c>
      <c r="V50" s="43" t="str">
        <f aca="false">IF(AND(V$3&gt;=$E50,V$3&lt;=$F50),1,"")</f>
        <v/>
      </c>
      <c r="W50" s="43" t="str">
        <f aca="false">IF(AND(W$3&gt;=$E50,W$3&lt;=$F50),1,"")</f>
        <v/>
      </c>
      <c r="X50" s="43" t="str">
        <f aca="false">IF(AND(X$3&gt;=$E50,X$3&lt;=$F50),1,"")</f>
        <v/>
      </c>
      <c r="Y50" s="43" t="str">
        <f aca="false">IF(AND(Y$3&gt;=$E50,Y$3&lt;=$F50),1,"")</f>
        <v/>
      </c>
      <c r="Z50" s="43" t="str">
        <f aca="false">IF(AND(Z$3&gt;=$E50,Z$3&lt;=$F50),1,"")</f>
        <v/>
      </c>
    </row>
    <row r="51" customFormat="false" ht="15" hidden="false" customHeight="false" outlineLevel="0" collapsed="false">
      <c r="A51" s="42" t="str">
        <f aca="false">Roadmap!A51</f>
        <v>2.17</v>
      </c>
      <c r="B51" s="42" t="str">
        <f aca="false">Roadmap!B51</f>
        <v>P2 Pilot</v>
      </c>
      <c r="C51" s="28" t="str">
        <f aca="false">Roadmap!D51</f>
        <v>GATE G2: pilot proven</v>
      </c>
      <c r="D51" s="28" t="str">
        <f aca="false">Roadmap!G51</f>
        <v>Founder &amp; CEO</v>
      </c>
      <c r="E51" s="42" t="n">
        <f aca="false">Roadmap!I51</f>
        <v>13</v>
      </c>
      <c r="F51" s="42" t="n">
        <f aca="false">Roadmap!K51</f>
        <v>13</v>
      </c>
      <c r="G51" s="43" t="str">
        <f aca="false">IF(AND(G$3&gt;=$E51,G$3&lt;=$F51),1,"")</f>
        <v/>
      </c>
      <c r="H51" s="43" t="str">
        <f aca="false">IF(AND(H$3&gt;=$E51,H$3&lt;=$F51),1,"")</f>
        <v/>
      </c>
      <c r="I51" s="43" t="str">
        <f aca="false">IF(AND(I$3&gt;=$E51,I$3&lt;=$F51),1,"")</f>
        <v/>
      </c>
      <c r="J51" s="43" t="str">
        <f aca="false">IF(AND(J$3&gt;=$E51,J$3&lt;=$F51),1,"")</f>
        <v/>
      </c>
      <c r="K51" s="43" t="str">
        <f aca="false">IF(AND(K$3&gt;=$E51,K$3&lt;=$F51),1,"")</f>
        <v/>
      </c>
      <c r="L51" s="43" t="str">
        <f aca="false">IF(AND(L$3&gt;=$E51,L$3&lt;=$F51),1,"")</f>
        <v/>
      </c>
      <c r="M51" s="43" t="str">
        <f aca="false">IF(AND(M$3&gt;=$E51,M$3&lt;=$F51),1,"")</f>
        <v/>
      </c>
      <c r="N51" s="43" t="str">
        <f aca="false">IF(AND(N$3&gt;=$E51,N$3&lt;=$F51),1,"")</f>
        <v/>
      </c>
      <c r="O51" s="43" t="str">
        <f aca="false">IF(AND(O$3&gt;=$E51,O$3&lt;=$F51),1,"")</f>
        <v/>
      </c>
      <c r="P51" s="43" t="str">
        <f aca="false">IF(AND(P$3&gt;=$E51,P$3&lt;=$F51),1,"")</f>
        <v/>
      </c>
      <c r="Q51" s="43" t="str">
        <f aca="false">IF(AND(Q$3&gt;=$E51,Q$3&lt;=$F51),1,"")</f>
        <v/>
      </c>
      <c r="R51" s="43" t="str">
        <f aca="false">IF(AND(R$3&gt;=$E51,R$3&lt;=$F51),1,"")</f>
        <v/>
      </c>
      <c r="S51" s="43" t="n">
        <f aca="false">IF(AND(S$3&gt;=$E51,S$3&lt;=$F51),1,"")</f>
        <v>1</v>
      </c>
      <c r="T51" s="43" t="str">
        <f aca="false">IF(AND(T$3&gt;=$E51,T$3&lt;=$F51),1,"")</f>
        <v/>
      </c>
      <c r="U51" s="43" t="str">
        <f aca="false">IF(AND(U$3&gt;=$E51,U$3&lt;=$F51),1,"")</f>
        <v/>
      </c>
      <c r="V51" s="43" t="str">
        <f aca="false">IF(AND(V$3&gt;=$E51,V$3&lt;=$F51),1,"")</f>
        <v/>
      </c>
      <c r="W51" s="43" t="str">
        <f aca="false">IF(AND(W$3&gt;=$E51,W$3&lt;=$F51),1,"")</f>
        <v/>
      </c>
      <c r="X51" s="43" t="str">
        <f aca="false">IF(AND(X$3&gt;=$E51,X$3&lt;=$F51),1,"")</f>
        <v/>
      </c>
      <c r="Y51" s="43" t="str">
        <f aca="false">IF(AND(Y$3&gt;=$E51,Y$3&lt;=$F51),1,"")</f>
        <v/>
      </c>
      <c r="Z51" s="43" t="str">
        <f aca="false">IF(AND(Z$3&gt;=$E51,Z$3&lt;=$F51),1,"")</f>
        <v/>
      </c>
    </row>
    <row r="52" customFormat="false" ht="23.85" hidden="false" customHeight="false" outlineLevel="0" collapsed="false">
      <c r="A52" s="42" t="str">
        <f aca="false">Roadmap!A52</f>
        <v>3.01</v>
      </c>
      <c r="B52" s="42" t="str">
        <f aca="false">Roadmap!B52</f>
        <v>P3 Raise</v>
      </c>
      <c r="C52" s="28" t="str">
        <f aca="false">Roadmap!D52</f>
        <v>Investor target list (50) and warm-introduction map; apply to startup programmes</v>
      </c>
      <c r="D52" s="28" t="str">
        <f aca="false">Roadmap!G52</f>
        <v>Founder &amp; CEO</v>
      </c>
      <c r="E52" s="42" t="n">
        <f aca="false">Roadmap!I52</f>
        <v>7</v>
      </c>
      <c r="F52" s="42" t="n">
        <f aca="false">Roadmap!K52</f>
        <v>8</v>
      </c>
      <c r="G52" s="43" t="str">
        <f aca="false">IF(AND(G$3&gt;=$E52,G$3&lt;=$F52),1,"")</f>
        <v/>
      </c>
      <c r="H52" s="43" t="str">
        <f aca="false">IF(AND(H$3&gt;=$E52,H$3&lt;=$F52),1,"")</f>
        <v/>
      </c>
      <c r="I52" s="43" t="str">
        <f aca="false">IF(AND(I$3&gt;=$E52,I$3&lt;=$F52),1,"")</f>
        <v/>
      </c>
      <c r="J52" s="43" t="str">
        <f aca="false">IF(AND(J$3&gt;=$E52,J$3&lt;=$F52),1,"")</f>
        <v/>
      </c>
      <c r="K52" s="43" t="str">
        <f aca="false">IF(AND(K$3&gt;=$E52,K$3&lt;=$F52),1,"")</f>
        <v/>
      </c>
      <c r="L52" s="43" t="str">
        <f aca="false">IF(AND(L$3&gt;=$E52,L$3&lt;=$F52),1,"")</f>
        <v/>
      </c>
      <c r="M52" s="43" t="n">
        <f aca="false">IF(AND(M$3&gt;=$E52,M$3&lt;=$F52),1,"")</f>
        <v>1</v>
      </c>
      <c r="N52" s="43" t="n">
        <f aca="false">IF(AND(N$3&gt;=$E52,N$3&lt;=$F52),1,"")</f>
        <v>1</v>
      </c>
      <c r="O52" s="43" t="str">
        <f aca="false">IF(AND(O$3&gt;=$E52,O$3&lt;=$F52),1,"")</f>
        <v/>
      </c>
      <c r="P52" s="43" t="str">
        <f aca="false">IF(AND(P$3&gt;=$E52,P$3&lt;=$F52),1,"")</f>
        <v/>
      </c>
      <c r="Q52" s="43" t="str">
        <f aca="false">IF(AND(Q$3&gt;=$E52,Q$3&lt;=$F52),1,"")</f>
        <v/>
      </c>
      <c r="R52" s="43" t="str">
        <f aca="false">IF(AND(R$3&gt;=$E52,R$3&lt;=$F52),1,"")</f>
        <v/>
      </c>
      <c r="S52" s="43" t="str">
        <f aca="false">IF(AND(S$3&gt;=$E52,S$3&lt;=$F52),1,"")</f>
        <v/>
      </c>
      <c r="T52" s="43" t="str">
        <f aca="false">IF(AND(T$3&gt;=$E52,T$3&lt;=$F52),1,"")</f>
        <v/>
      </c>
      <c r="U52" s="43" t="str">
        <f aca="false">IF(AND(U$3&gt;=$E52,U$3&lt;=$F52),1,"")</f>
        <v/>
      </c>
      <c r="V52" s="43" t="str">
        <f aca="false">IF(AND(V$3&gt;=$E52,V$3&lt;=$F52),1,"")</f>
        <v/>
      </c>
      <c r="W52" s="43" t="str">
        <f aca="false">IF(AND(W$3&gt;=$E52,W$3&lt;=$F52),1,"")</f>
        <v/>
      </c>
      <c r="X52" s="43" t="str">
        <f aca="false">IF(AND(X$3&gt;=$E52,X$3&lt;=$F52),1,"")</f>
        <v/>
      </c>
      <c r="Y52" s="43" t="str">
        <f aca="false">IF(AND(Y$3&gt;=$E52,Y$3&lt;=$F52),1,"")</f>
        <v/>
      </c>
      <c r="Z52" s="43" t="str">
        <f aca="false">IF(AND(Z$3&gt;=$E52,Z$3&lt;=$F52),1,"")</f>
        <v/>
      </c>
    </row>
    <row r="53" customFormat="false" ht="15" hidden="false" customHeight="false" outlineLevel="0" collapsed="false">
      <c r="A53" s="42" t="str">
        <f aca="false">Roadmap!A53</f>
        <v>3.02</v>
      </c>
      <c r="B53" s="42" t="str">
        <f aca="false">Roadmap!B53</f>
        <v>P3 Raise</v>
      </c>
      <c r="C53" s="28" t="str">
        <f aca="false">Roadmap!D53</f>
        <v>Three-year monthly financial model and use of funds</v>
      </c>
      <c r="D53" s="28" t="str">
        <f aca="false">Roadmap!G53</f>
        <v>Fractional CFO</v>
      </c>
      <c r="E53" s="42" t="n">
        <f aca="false">Roadmap!I53</f>
        <v>8</v>
      </c>
      <c r="F53" s="42" t="n">
        <f aca="false">Roadmap!K53</f>
        <v>10</v>
      </c>
      <c r="G53" s="43" t="str">
        <f aca="false">IF(AND(G$3&gt;=$E53,G$3&lt;=$F53),1,"")</f>
        <v/>
      </c>
      <c r="H53" s="43" t="str">
        <f aca="false">IF(AND(H$3&gt;=$E53,H$3&lt;=$F53),1,"")</f>
        <v/>
      </c>
      <c r="I53" s="43" t="str">
        <f aca="false">IF(AND(I$3&gt;=$E53,I$3&lt;=$F53),1,"")</f>
        <v/>
      </c>
      <c r="J53" s="43" t="str">
        <f aca="false">IF(AND(J$3&gt;=$E53,J$3&lt;=$F53),1,"")</f>
        <v/>
      </c>
      <c r="K53" s="43" t="str">
        <f aca="false">IF(AND(K$3&gt;=$E53,K$3&lt;=$F53),1,"")</f>
        <v/>
      </c>
      <c r="L53" s="43" t="str">
        <f aca="false">IF(AND(L$3&gt;=$E53,L$3&lt;=$F53),1,"")</f>
        <v/>
      </c>
      <c r="M53" s="43" t="str">
        <f aca="false">IF(AND(M$3&gt;=$E53,M$3&lt;=$F53),1,"")</f>
        <v/>
      </c>
      <c r="N53" s="43" t="n">
        <f aca="false">IF(AND(N$3&gt;=$E53,N$3&lt;=$F53),1,"")</f>
        <v>1</v>
      </c>
      <c r="O53" s="43" t="n">
        <f aca="false">IF(AND(O$3&gt;=$E53,O$3&lt;=$F53),1,"")</f>
        <v>1</v>
      </c>
      <c r="P53" s="43" t="n">
        <f aca="false">IF(AND(P$3&gt;=$E53,P$3&lt;=$F53),1,"")</f>
        <v>1</v>
      </c>
      <c r="Q53" s="43" t="str">
        <f aca="false">IF(AND(Q$3&gt;=$E53,Q$3&lt;=$F53),1,"")</f>
        <v/>
      </c>
      <c r="R53" s="43" t="str">
        <f aca="false">IF(AND(R$3&gt;=$E53,R$3&lt;=$F53),1,"")</f>
        <v/>
      </c>
      <c r="S53" s="43" t="str">
        <f aca="false">IF(AND(S$3&gt;=$E53,S$3&lt;=$F53),1,"")</f>
        <v/>
      </c>
      <c r="T53" s="43" t="str">
        <f aca="false">IF(AND(T$3&gt;=$E53,T$3&lt;=$F53),1,"")</f>
        <v/>
      </c>
      <c r="U53" s="43" t="str">
        <f aca="false">IF(AND(U$3&gt;=$E53,U$3&lt;=$F53),1,"")</f>
        <v/>
      </c>
      <c r="V53" s="43" t="str">
        <f aca="false">IF(AND(V$3&gt;=$E53,V$3&lt;=$F53),1,"")</f>
        <v/>
      </c>
      <c r="W53" s="43" t="str">
        <f aca="false">IF(AND(W$3&gt;=$E53,W$3&lt;=$F53),1,"")</f>
        <v/>
      </c>
      <c r="X53" s="43" t="str">
        <f aca="false">IF(AND(X$3&gt;=$E53,X$3&lt;=$F53),1,"")</f>
        <v/>
      </c>
      <c r="Y53" s="43" t="str">
        <f aca="false">IF(AND(Y$3&gt;=$E53,Y$3&lt;=$F53),1,"")</f>
        <v/>
      </c>
      <c r="Z53" s="43" t="str">
        <f aca="false">IF(AND(Z$3&gt;=$E53,Z$3&lt;=$F53),1,"")</f>
        <v/>
      </c>
    </row>
    <row r="54" customFormat="false" ht="23.85" hidden="false" customHeight="false" outlineLevel="0" collapsed="false">
      <c r="A54" s="42" t="str">
        <f aca="false">Roadmap!A54</f>
        <v>3.03</v>
      </c>
      <c r="B54" s="42" t="str">
        <f aca="false">Roadmap!B54</f>
        <v>P3 Raise</v>
      </c>
      <c r="C54" s="28" t="str">
        <f aca="false">Roadmap!D54</f>
        <v>Cap table, funding instrument (SAFE or equity), ESOP and legal readiness</v>
      </c>
      <c r="D54" s="28" t="str">
        <f aca="false">Roadmap!G54</f>
        <v>Legal Counsel</v>
      </c>
      <c r="E54" s="42" t="n">
        <f aca="false">Roadmap!I54</f>
        <v>9</v>
      </c>
      <c r="F54" s="42" t="n">
        <f aca="false">Roadmap!K54</f>
        <v>10</v>
      </c>
      <c r="G54" s="43" t="str">
        <f aca="false">IF(AND(G$3&gt;=$E54,G$3&lt;=$F54),1,"")</f>
        <v/>
      </c>
      <c r="H54" s="43" t="str">
        <f aca="false">IF(AND(H$3&gt;=$E54,H$3&lt;=$F54),1,"")</f>
        <v/>
      </c>
      <c r="I54" s="43" t="str">
        <f aca="false">IF(AND(I$3&gt;=$E54,I$3&lt;=$F54),1,"")</f>
        <v/>
      </c>
      <c r="J54" s="43" t="str">
        <f aca="false">IF(AND(J$3&gt;=$E54,J$3&lt;=$F54),1,"")</f>
        <v/>
      </c>
      <c r="K54" s="43" t="str">
        <f aca="false">IF(AND(K$3&gt;=$E54,K$3&lt;=$F54),1,"")</f>
        <v/>
      </c>
      <c r="L54" s="43" t="str">
        <f aca="false">IF(AND(L$3&gt;=$E54,L$3&lt;=$F54),1,"")</f>
        <v/>
      </c>
      <c r="M54" s="43" t="str">
        <f aca="false">IF(AND(M$3&gt;=$E54,M$3&lt;=$F54),1,"")</f>
        <v/>
      </c>
      <c r="N54" s="43" t="str">
        <f aca="false">IF(AND(N$3&gt;=$E54,N$3&lt;=$F54),1,"")</f>
        <v/>
      </c>
      <c r="O54" s="43" t="n">
        <f aca="false">IF(AND(O$3&gt;=$E54,O$3&lt;=$F54),1,"")</f>
        <v>1</v>
      </c>
      <c r="P54" s="43" t="n">
        <f aca="false">IF(AND(P$3&gt;=$E54,P$3&lt;=$F54),1,"")</f>
        <v>1</v>
      </c>
      <c r="Q54" s="43" t="str">
        <f aca="false">IF(AND(Q$3&gt;=$E54,Q$3&lt;=$F54),1,"")</f>
        <v/>
      </c>
      <c r="R54" s="43" t="str">
        <f aca="false">IF(AND(R$3&gt;=$E54,R$3&lt;=$F54),1,"")</f>
        <v/>
      </c>
      <c r="S54" s="43" t="str">
        <f aca="false">IF(AND(S$3&gt;=$E54,S$3&lt;=$F54),1,"")</f>
        <v/>
      </c>
      <c r="T54" s="43" t="str">
        <f aca="false">IF(AND(T$3&gt;=$E54,T$3&lt;=$F54),1,"")</f>
        <v/>
      </c>
      <c r="U54" s="43" t="str">
        <f aca="false">IF(AND(U$3&gt;=$E54,U$3&lt;=$F54),1,"")</f>
        <v/>
      </c>
      <c r="V54" s="43" t="str">
        <f aca="false">IF(AND(V$3&gt;=$E54,V$3&lt;=$F54),1,"")</f>
        <v/>
      </c>
      <c r="W54" s="43" t="str">
        <f aca="false">IF(AND(W$3&gt;=$E54,W$3&lt;=$F54),1,"")</f>
        <v/>
      </c>
      <c r="X54" s="43" t="str">
        <f aca="false">IF(AND(X$3&gt;=$E54,X$3&lt;=$F54),1,"")</f>
        <v/>
      </c>
      <c r="Y54" s="43" t="str">
        <f aca="false">IF(AND(Y$3&gt;=$E54,Y$3&lt;=$F54),1,"")</f>
        <v/>
      </c>
      <c r="Z54" s="43" t="str">
        <f aca="false">IF(AND(Z$3&gt;=$E54,Z$3&lt;=$F54),1,"")</f>
        <v/>
      </c>
    </row>
    <row r="55" customFormat="false" ht="15" hidden="false" customHeight="false" outlineLevel="0" collapsed="false">
      <c r="A55" s="42" t="str">
        <f aca="false">Roadmap!A55</f>
        <v>3.04</v>
      </c>
      <c r="B55" s="42" t="str">
        <f aca="false">Roadmap!B55</f>
        <v>P3 Raise</v>
      </c>
      <c r="C55" s="28" t="str">
        <f aca="false">Roadmap!D55</f>
        <v>Build the data room</v>
      </c>
      <c r="D55" s="28" t="str">
        <f aca="false">Roadmap!G55</f>
        <v>Founder &amp; CEO</v>
      </c>
      <c r="E55" s="42" t="n">
        <f aca="false">Roadmap!I55</f>
        <v>10</v>
      </c>
      <c r="F55" s="42" t="n">
        <f aca="false">Roadmap!K55</f>
        <v>12</v>
      </c>
      <c r="G55" s="43" t="str">
        <f aca="false">IF(AND(G$3&gt;=$E55,G$3&lt;=$F55),1,"")</f>
        <v/>
      </c>
      <c r="H55" s="43" t="str">
        <f aca="false">IF(AND(H$3&gt;=$E55,H$3&lt;=$F55),1,"")</f>
        <v/>
      </c>
      <c r="I55" s="43" t="str">
        <f aca="false">IF(AND(I$3&gt;=$E55,I$3&lt;=$F55),1,"")</f>
        <v/>
      </c>
      <c r="J55" s="43" t="str">
        <f aca="false">IF(AND(J$3&gt;=$E55,J$3&lt;=$F55),1,"")</f>
        <v/>
      </c>
      <c r="K55" s="43" t="str">
        <f aca="false">IF(AND(K$3&gt;=$E55,K$3&lt;=$F55),1,"")</f>
        <v/>
      </c>
      <c r="L55" s="43" t="str">
        <f aca="false">IF(AND(L$3&gt;=$E55,L$3&lt;=$F55),1,"")</f>
        <v/>
      </c>
      <c r="M55" s="43" t="str">
        <f aca="false">IF(AND(M$3&gt;=$E55,M$3&lt;=$F55),1,"")</f>
        <v/>
      </c>
      <c r="N55" s="43" t="str">
        <f aca="false">IF(AND(N$3&gt;=$E55,N$3&lt;=$F55),1,"")</f>
        <v/>
      </c>
      <c r="O55" s="43" t="str">
        <f aca="false">IF(AND(O$3&gt;=$E55,O$3&lt;=$F55),1,"")</f>
        <v/>
      </c>
      <c r="P55" s="43" t="n">
        <f aca="false">IF(AND(P$3&gt;=$E55,P$3&lt;=$F55),1,"")</f>
        <v>1</v>
      </c>
      <c r="Q55" s="43" t="n">
        <f aca="false">IF(AND(Q$3&gt;=$E55,Q$3&lt;=$F55),1,"")</f>
        <v>1</v>
      </c>
      <c r="R55" s="43" t="n">
        <f aca="false">IF(AND(R$3&gt;=$E55,R$3&lt;=$F55),1,"")</f>
        <v>1</v>
      </c>
      <c r="S55" s="43" t="str">
        <f aca="false">IF(AND(S$3&gt;=$E55,S$3&lt;=$F55),1,"")</f>
        <v/>
      </c>
      <c r="T55" s="43" t="str">
        <f aca="false">IF(AND(T$3&gt;=$E55,T$3&lt;=$F55),1,"")</f>
        <v/>
      </c>
      <c r="U55" s="43" t="str">
        <f aca="false">IF(AND(U$3&gt;=$E55,U$3&lt;=$F55),1,"")</f>
        <v/>
      </c>
      <c r="V55" s="43" t="str">
        <f aca="false">IF(AND(V$3&gt;=$E55,V$3&lt;=$F55),1,"")</f>
        <v/>
      </c>
      <c r="W55" s="43" t="str">
        <f aca="false">IF(AND(W$3&gt;=$E55,W$3&lt;=$F55),1,"")</f>
        <v/>
      </c>
      <c r="X55" s="43" t="str">
        <f aca="false">IF(AND(X$3&gt;=$E55,X$3&lt;=$F55),1,"")</f>
        <v/>
      </c>
      <c r="Y55" s="43" t="str">
        <f aca="false">IF(AND(Y$3&gt;=$E55,Y$3&lt;=$F55),1,"")</f>
        <v/>
      </c>
      <c r="Z55" s="43" t="str">
        <f aca="false">IF(AND(Z$3&gt;=$E55,Z$3&lt;=$F55),1,"")</f>
        <v/>
      </c>
    </row>
    <row r="56" customFormat="false" ht="15" hidden="false" customHeight="false" outlineLevel="0" collapsed="false">
      <c r="A56" s="42" t="str">
        <f aca="false">Roadmap!A56</f>
        <v>3.05</v>
      </c>
      <c r="B56" s="42" t="str">
        <f aca="false">Roadmap!B56</f>
        <v>P3 Raise</v>
      </c>
      <c r="C56" s="28" t="str">
        <f aca="false">Roadmap!D56</f>
        <v>Pitch deck v2 with pilot results</v>
      </c>
      <c r="D56" s="28" t="str">
        <f aca="false">Roadmap!G56</f>
        <v>Founder &amp; CEO</v>
      </c>
      <c r="E56" s="42" t="n">
        <f aca="false">Roadmap!I56</f>
        <v>12</v>
      </c>
      <c r="F56" s="42" t="n">
        <f aca="false">Roadmap!K56</f>
        <v>13</v>
      </c>
      <c r="G56" s="43" t="str">
        <f aca="false">IF(AND(G$3&gt;=$E56,G$3&lt;=$F56),1,"")</f>
        <v/>
      </c>
      <c r="H56" s="43" t="str">
        <f aca="false">IF(AND(H$3&gt;=$E56,H$3&lt;=$F56),1,"")</f>
        <v/>
      </c>
      <c r="I56" s="43" t="str">
        <f aca="false">IF(AND(I$3&gt;=$E56,I$3&lt;=$F56),1,"")</f>
        <v/>
      </c>
      <c r="J56" s="43" t="str">
        <f aca="false">IF(AND(J$3&gt;=$E56,J$3&lt;=$F56),1,"")</f>
        <v/>
      </c>
      <c r="K56" s="43" t="str">
        <f aca="false">IF(AND(K$3&gt;=$E56,K$3&lt;=$F56),1,"")</f>
        <v/>
      </c>
      <c r="L56" s="43" t="str">
        <f aca="false">IF(AND(L$3&gt;=$E56,L$3&lt;=$F56),1,"")</f>
        <v/>
      </c>
      <c r="M56" s="43" t="str">
        <f aca="false">IF(AND(M$3&gt;=$E56,M$3&lt;=$F56),1,"")</f>
        <v/>
      </c>
      <c r="N56" s="43" t="str">
        <f aca="false">IF(AND(N$3&gt;=$E56,N$3&lt;=$F56),1,"")</f>
        <v/>
      </c>
      <c r="O56" s="43" t="str">
        <f aca="false">IF(AND(O$3&gt;=$E56,O$3&lt;=$F56),1,"")</f>
        <v/>
      </c>
      <c r="P56" s="43" t="str">
        <f aca="false">IF(AND(P$3&gt;=$E56,P$3&lt;=$F56),1,"")</f>
        <v/>
      </c>
      <c r="Q56" s="43" t="str">
        <f aca="false">IF(AND(Q$3&gt;=$E56,Q$3&lt;=$F56),1,"")</f>
        <v/>
      </c>
      <c r="R56" s="43" t="n">
        <f aca="false">IF(AND(R$3&gt;=$E56,R$3&lt;=$F56),1,"")</f>
        <v>1</v>
      </c>
      <c r="S56" s="43" t="n">
        <f aca="false">IF(AND(S$3&gt;=$E56,S$3&lt;=$F56),1,"")</f>
        <v>1</v>
      </c>
      <c r="T56" s="43" t="str">
        <f aca="false">IF(AND(T$3&gt;=$E56,T$3&lt;=$F56),1,"")</f>
        <v/>
      </c>
      <c r="U56" s="43" t="str">
        <f aca="false">IF(AND(U$3&gt;=$E56,U$3&lt;=$F56),1,"")</f>
        <v/>
      </c>
      <c r="V56" s="43" t="str">
        <f aca="false">IF(AND(V$3&gt;=$E56,V$3&lt;=$F56),1,"")</f>
        <v/>
      </c>
      <c r="W56" s="43" t="str">
        <f aca="false">IF(AND(W$3&gt;=$E56,W$3&lt;=$F56),1,"")</f>
        <v/>
      </c>
      <c r="X56" s="43" t="str">
        <f aca="false">IF(AND(X$3&gt;=$E56,X$3&lt;=$F56),1,"")</f>
        <v/>
      </c>
      <c r="Y56" s="43" t="str">
        <f aca="false">IF(AND(Y$3&gt;=$E56,Y$3&lt;=$F56),1,"")</f>
        <v/>
      </c>
      <c r="Z56" s="43" t="str">
        <f aca="false">IF(AND(Z$3&gt;=$E56,Z$3&lt;=$F56),1,"")</f>
        <v/>
      </c>
    </row>
    <row r="57" customFormat="false" ht="15" hidden="false" customHeight="false" outlineLevel="0" collapsed="false">
      <c r="A57" s="42" t="str">
        <f aca="false">Roadmap!A57</f>
        <v>3.06</v>
      </c>
      <c r="B57" s="42" t="str">
        <f aca="false">Roadmap!B57</f>
        <v>P3 Raise</v>
      </c>
      <c r="C57" s="28" t="str">
        <f aca="false">Roadmap!D57</f>
        <v>Investor outreach and first meetings</v>
      </c>
      <c r="D57" s="28" t="str">
        <f aca="false">Roadmap!G57</f>
        <v>Founder &amp; CEO</v>
      </c>
      <c r="E57" s="42" t="n">
        <f aca="false">Roadmap!I57</f>
        <v>12</v>
      </c>
      <c r="F57" s="42" t="n">
        <f aca="false">Roadmap!K57</f>
        <v>16</v>
      </c>
      <c r="G57" s="43" t="str">
        <f aca="false">IF(AND(G$3&gt;=$E57,G$3&lt;=$F57),1,"")</f>
        <v/>
      </c>
      <c r="H57" s="43" t="str">
        <f aca="false">IF(AND(H$3&gt;=$E57,H$3&lt;=$F57),1,"")</f>
        <v/>
      </c>
      <c r="I57" s="43" t="str">
        <f aca="false">IF(AND(I$3&gt;=$E57,I$3&lt;=$F57),1,"")</f>
        <v/>
      </c>
      <c r="J57" s="43" t="str">
        <f aca="false">IF(AND(J$3&gt;=$E57,J$3&lt;=$F57),1,"")</f>
        <v/>
      </c>
      <c r="K57" s="43" t="str">
        <f aca="false">IF(AND(K$3&gt;=$E57,K$3&lt;=$F57),1,"")</f>
        <v/>
      </c>
      <c r="L57" s="43" t="str">
        <f aca="false">IF(AND(L$3&gt;=$E57,L$3&lt;=$F57),1,"")</f>
        <v/>
      </c>
      <c r="M57" s="43" t="str">
        <f aca="false">IF(AND(M$3&gt;=$E57,M$3&lt;=$F57),1,"")</f>
        <v/>
      </c>
      <c r="N57" s="43" t="str">
        <f aca="false">IF(AND(N$3&gt;=$E57,N$3&lt;=$F57),1,"")</f>
        <v/>
      </c>
      <c r="O57" s="43" t="str">
        <f aca="false">IF(AND(O$3&gt;=$E57,O$3&lt;=$F57),1,"")</f>
        <v/>
      </c>
      <c r="P57" s="43" t="str">
        <f aca="false">IF(AND(P$3&gt;=$E57,P$3&lt;=$F57),1,"")</f>
        <v/>
      </c>
      <c r="Q57" s="43" t="str">
        <f aca="false">IF(AND(Q$3&gt;=$E57,Q$3&lt;=$F57),1,"")</f>
        <v/>
      </c>
      <c r="R57" s="43" t="n">
        <f aca="false">IF(AND(R$3&gt;=$E57,R$3&lt;=$F57),1,"")</f>
        <v>1</v>
      </c>
      <c r="S57" s="43" t="n">
        <f aca="false">IF(AND(S$3&gt;=$E57,S$3&lt;=$F57),1,"")</f>
        <v>1</v>
      </c>
      <c r="T57" s="43" t="n">
        <f aca="false">IF(AND(T$3&gt;=$E57,T$3&lt;=$F57),1,"")</f>
        <v>1</v>
      </c>
      <c r="U57" s="43" t="n">
        <f aca="false">IF(AND(U$3&gt;=$E57,U$3&lt;=$F57),1,"")</f>
        <v>1</v>
      </c>
      <c r="V57" s="43" t="n">
        <f aca="false">IF(AND(V$3&gt;=$E57,V$3&lt;=$F57),1,"")</f>
        <v>1</v>
      </c>
      <c r="W57" s="43" t="str">
        <f aca="false">IF(AND(W$3&gt;=$E57,W$3&lt;=$F57),1,"")</f>
        <v/>
      </c>
      <c r="X57" s="43" t="str">
        <f aca="false">IF(AND(X$3&gt;=$E57,X$3&lt;=$F57),1,"")</f>
        <v/>
      </c>
      <c r="Y57" s="43" t="str">
        <f aca="false">IF(AND(Y$3&gt;=$E57,Y$3&lt;=$F57),1,"")</f>
        <v/>
      </c>
      <c r="Z57" s="43" t="str">
        <f aca="false">IF(AND(Z$3&gt;=$E57,Z$3&lt;=$F57),1,"")</f>
        <v/>
      </c>
    </row>
    <row r="58" customFormat="false" ht="15" hidden="false" customHeight="false" outlineLevel="0" collapsed="false">
      <c r="A58" s="42" t="str">
        <f aca="false">Roadmap!A58</f>
        <v>3.07</v>
      </c>
      <c r="B58" s="42" t="str">
        <f aca="false">Roadmap!B58</f>
        <v>P3 Raise</v>
      </c>
      <c r="C58" s="28" t="str">
        <f aca="false">Roadmap!D58</f>
        <v>Follow-ups and due diligence responses</v>
      </c>
      <c r="D58" s="28" t="str">
        <f aca="false">Roadmap!G58</f>
        <v>Founder &amp; CEO</v>
      </c>
      <c r="E58" s="42" t="n">
        <f aca="false">Roadmap!I58</f>
        <v>15</v>
      </c>
      <c r="F58" s="42" t="n">
        <f aca="false">Roadmap!K58</f>
        <v>18</v>
      </c>
      <c r="G58" s="43" t="str">
        <f aca="false">IF(AND(G$3&gt;=$E58,G$3&lt;=$F58),1,"")</f>
        <v/>
      </c>
      <c r="H58" s="43" t="str">
        <f aca="false">IF(AND(H$3&gt;=$E58,H$3&lt;=$F58),1,"")</f>
        <v/>
      </c>
      <c r="I58" s="43" t="str">
        <f aca="false">IF(AND(I$3&gt;=$E58,I$3&lt;=$F58),1,"")</f>
        <v/>
      </c>
      <c r="J58" s="43" t="str">
        <f aca="false">IF(AND(J$3&gt;=$E58,J$3&lt;=$F58),1,"")</f>
        <v/>
      </c>
      <c r="K58" s="43" t="str">
        <f aca="false">IF(AND(K$3&gt;=$E58,K$3&lt;=$F58),1,"")</f>
        <v/>
      </c>
      <c r="L58" s="43" t="str">
        <f aca="false">IF(AND(L$3&gt;=$E58,L$3&lt;=$F58),1,"")</f>
        <v/>
      </c>
      <c r="M58" s="43" t="str">
        <f aca="false">IF(AND(M$3&gt;=$E58,M$3&lt;=$F58),1,"")</f>
        <v/>
      </c>
      <c r="N58" s="43" t="str">
        <f aca="false">IF(AND(N$3&gt;=$E58,N$3&lt;=$F58),1,"")</f>
        <v/>
      </c>
      <c r="O58" s="43" t="str">
        <f aca="false">IF(AND(O$3&gt;=$E58,O$3&lt;=$F58),1,"")</f>
        <v/>
      </c>
      <c r="P58" s="43" t="str">
        <f aca="false">IF(AND(P$3&gt;=$E58,P$3&lt;=$F58),1,"")</f>
        <v/>
      </c>
      <c r="Q58" s="43" t="str">
        <f aca="false">IF(AND(Q$3&gt;=$E58,Q$3&lt;=$F58),1,"")</f>
        <v/>
      </c>
      <c r="R58" s="43" t="str">
        <f aca="false">IF(AND(R$3&gt;=$E58,R$3&lt;=$F58),1,"")</f>
        <v/>
      </c>
      <c r="S58" s="43" t="str">
        <f aca="false">IF(AND(S$3&gt;=$E58,S$3&lt;=$F58),1,"")</f>
        <v/>
      </c>
      <c r="T58" s="43" t="str">
        <f aca="false">IF(AND(T$3&gt;=$E58,T$3&lt;=$F58),1,"")</f>
        <v/>
      </c>
      <c r="U58" s="43" t="n">
        <f aca="false">IF(AND(U$3&gt;=$E58,U$3&lt;=$F58),1,"")</f>
        <v>1</v>
      </c>
      <c r="V58" s="43" t="n">
        <f aca="false">IF(AND(V$3&gt;=$E58,V$3&lt;=$F58),1,"")</f>
        <v>1</v>
      </c>
      <c r="W58" s="43" t="n">
        <f aca="false">IF(AND(W$3&gt;=$E58,W$3&lt;=$F58),1,"")</f>
        <v>1</v>
      </c>
      <c r="X58" s="43" t="n">
        <f aca="false">IF(AND(X$3&gt;=$E58,X$3&lt;=$F58),1,"")</f>
        <v>1</v>
      </c>
      <c r="Y58" s="43" t="str">
        <f aca="false">IF(AND(Y$3&gt;=$E58,Y$3&lt;=$F58),1,"")</f>
        <v/>
      </c>
      <c r="Z58" s="43" t="str">
        <f aca="false">IF(AND(Z$3&gt;=$E58,Z$3&lt;=$F58),1,"")</f>
        <v/>
      </c>
    </row>
    <row r="59" customFormat="false" ht="15" hidden="false" customHeight="false" outlineLevel="0" collapsed="false">
      <c r="A59" s="42" t="str">
        <f aca="false">Roadmap!A59</f>
        <v>3.08</v>
      </c>
      <c r="B59" s="42" t="str">
        <f aca="false">Roadmap!B59</f>
        <v>P3 Raise</v>
      </c>
      <c r="C59" s="28" t="str">
        <f aca="false">Roadmap!D59</f>
        <v>GATE G3: term sheet or first close</v>
      </c>
      <c r="D59" s="28" t="str">
        <f aca="false">Roadmap!G59</f>
        <v>Founder &amp; CEO</v>
      </c>
      <c r="E59" s="42" t="n">
        <f aca="false">Roadmap!I59</f>
        <v>19</v>
      </c>
      <c r="F59" s="42" t="n">
        <f aca="false">Roadmap!K59</f>
        <v>20</v>
      </c>
      <c r="G59" s="43" t="str">
        <f aca="false">IF(AND(G$3&gt;=$E59,G$3&lt;=$F59),1,"")</f>
        <v/>
      </c>
      <c r="H59" s="43" t="str">
        <f aca="false">IF(AND(H$3&gt;=$E59,H$3&lt;=$F59),1,"")</f>
        <v/>
      </c>
      <c r="I59" s="43" t="str">
        <f aca="false">IF(AND(I$3&gt;=$E59,I$3&lt;=$F59),1,"")</f>
        <v/>
      </c>
      <c r="J59" s="43" t="str">
        <f aca="false">IF(AND(J$3&gt;=$E59,J$3&lt;=$F59),1,"")</f>
        <v/>
      </c>
      <c r="K59" s="43" t="str">
        <f aca="false">IF(AND(K$3&gt;=$E59,K$3&lt;=$F59),1,"")</f>
        <v/>
      </c>
      <c r="L59" s="43" t="str">
        <f aca="false">IF(AND(L$3&gt;=$E59,L$3&lt;=$F59),1,"")</f>
        <v/>
      </c>
      <c r="M59" s="43" t="str">
        <f aca="false">IF(AND(M$3&gt;=$E59,M$3&lt;=$F59),1,"")</f>
        <v/>
      </c>
      <c r="N59" s="43" t="str">
        <f aca="false">IF(AND(N$3&gt;=$E59,N$3&lt;=$F59),1,"")</f>
        <v/>
      </c>
      <c r="O59" s="43" t="str">
        <f aca="false">IF(AND(O$3&gt;=$E59,O$3&lt;=$F59),1,"")</f>
        <v/>
      </c>
      <c r="P59" s="43" t="str">
        <f aca="false">IF(AND(P$3&gt;=$E59,P$3&lt;=$F59),1,"")</f>
        <v/>
      </c>
      <c r="Q59" s="43" t="str">
        <f aca="false">IF(AND(Q$3&gt;=$E59,Q$3&lt;=$F59),1,"")</f>
        <v/>
      </c>
      <c r="R59" s="43" t="str">
        <f aca="false">IF(AND(R$3&gt;=$E59,R$3&lt;=$F59),1,"")</f>
        <v/>
      </c>
      <c r="S59" s="43" t="str">
        <f aca="false">IF(AND(S$3&gt;=$E59,S$3&lt;=$F59),1,"")</f>
        <v/>
      </c>
      <c r="T59" s="43" t="str">
        <f aca="false">IF(AND(T$3&gt;=$E59,T$3&lt;=$F59),1,"")</f>
        <v/>
      </c>
      <c r="U59" s="43" t="str">
        <f aca="false">IF(AND(U$3&gt;=$E59,U$3&lt;=$F59),1,"")</f>
        <v/>
      </c>
      <c r="V59" s="43" t="str">
        <f aca="false">IF(AND(V$3&gt;=$E59,V$3&lt;=$F59),1,"")</f>
        <v/>
      </c>
      <c r="W59" s="43" t="str">
        <f aca="false">IF(AND(W$3&gt;=$E59,W$3&lt;=$F59),1,"")</f>
        <v/>
      </c>
      <c r="X59" s="43" t="str">
        <f aca="false">IF(AND(X$3&gt;=$E59,X$3&lt;=$F59),1,"")</f>
        <v/>
      </c>
      <c r="Y59" s="43" t="n">
        <f aca="false">IF(AND(Y$3&gt;=$E59,Y$3&lt;=$F59),1,"")</f>
        <v>1</v>
      </c>
      <c r="Z59" s="43" t="n">
        <f aca="false">IF(AND(Z$3&gt;=$E59,Z$3&lt;=$F59),1,"")</f>
        <v>1</v>
      </c>
    </row>
  </sheetData>
  <conditionalFormatting sqref="G5:Z59">
    <cfRule type="expression" priority="2" aboveAverage="0" equalAverage="0" bottom="0" percent="0" rank="0" text="" dxfId="18">
      <formula>AND(G5=1,$B5="P0 Validate")</formula>
    </cfRule>
    <cfRule type="expression" priority="3" aboveAverage="0" equalAverage="0" bottom="0" percent="0" rank="0" text="" dxfId="19">
      <formula>AND(G5=1,$B5="P1 Set up")</formula>
    </cfRule>
    <cfRule type="expression" priority="4" aboveAverage="0" equalAverage="0" bottom="0" percent="0" rank="0" text="" dxfId="20">
      <formula>AND(G5=1,$B5="P2 Pilot")</formula>
    </cfRule>
    <cfRule type="expression" priority="5" aboveAverage="0" equalAverage="0" bottom="0" percent="0" rank="0" text="" dxfId="21">
      <formula>AND(G5=1,$B5="P3 Raise")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62"/>
    <col collapsed="false" customWidth="true" hidden="false" outlineLevel="0" max="4" min="4" style="0" width="7"/>
    <col collapsed="false" customWidth="true" hidden="false" outlineLevel="0" max="5" min="5" style="0" width="10"/>
    <col collapsed="false" customWidth="true" hidden="false" outlineLevel="0" max="6" min="6" style="0" width="14"/>
    <col collapsed="false" customWidth="true" hidden="false" outlineLevel="0" max="7" min="7" style="0" width="12"/>
    <col collapsed="false" customWidth="true" hidden="false" outlineLevel="0" max="8" min="8" style="0" width="28"/>
  </cols>
  <sheetData>
    <row r="1" customFormat="false" ht="19.7" hidden="false" customHeight="false" outlineLevel="0" collapsed="false">
      <c r="A1" s="1" t="s">
        <v>353</v>
      </c>
    </row>
    <row r="2" customFormat="false" ht="15" hidden="false" customHeight="false" outlineLevel="0" collapsed="false">
      <c r="A2" s="2" t="s">
        <v>354</v>
      </c>
    </row>
    <row r="4" customFormat="false" ht="30" hidden="false" customHeight="true" outlineLevel="0" collapsed="false">
      <c r="A4" s="9" t="s">
        <v>27</v>
      </c>
      <c r="B4" s="9" t="s">
        <v>28</v>
      </c>
      <c r="C4" s="9" t="s">
        <v>355</v>
      </c>
      <c r="D4" s="9" t="s">
        <v>356</v>
      </c>
      <c r="E4" s="9" t="s">
        <v>357</v>
      </c>
      <c r="F4" s="9" t="s">
        <v>358</v>
      </c>
      <c r="G4" s="9" t="s">
        <v>65</v>
      </c>
      <c r="H4" s="9" t="s">
        <v>359</v>
      </c>
    </row>
    <row r="5" customFormat="false" ht="15" hidden="false" customHeight="false" outlineLevel="0" collapsed="false">
      <c r="A5" s="28" t="s">
        <v>33</v>
      </c>
      <c r="B5" s="28" t="s">
        <v>34</v>
      </c>
      <c r="C5" s="28" t="s">
        <v>360</v>
      </c>
      <c r="D5" s="28" t="s">
        <v>361</v>
      </c>
      <c r="E5" s="44" t="n">
        <v>300</v>
      </c>
      <c r="F5" s="45"/>
      <c r="G5" s="28" t="str">
        <f aca="false">IF(F5="","Pending",IF(D5="&gt;=",IF(F5&gt;=E5,"Met","Not met"),IF(F5&lt;=E5,"Met","Not met")))</f>
        <v>Pending</v>
      </c>
      <c r="H5" s="28" t="s">
        <v>362</v>
      </c>
    </row>
    <row r="6" customFormat="false" ht="15" hidden="false" customHeight="false" outlineLevel="0" collapsed="false">
      <c r="A6" s="28" t="s">
        <v>33</v>
      </c>
      <c r="B6" s="28" t="s">
        <v>34</v>
      </c>
      <c r="C6" s="28" t="s">
        <v>363</v>
      </c>
      <c r="D6" s="28" t="s">
        <v>361</v>
      </c>
      <c r="E6" s="46" t="n">
        <v>0.6</v>
      </c>
      <c r="F6" s="47"/>
      <c r="G6" s="28" t="str">
        <f aca="false">IF(F6="","Pending",IF(D6="&gt;=",IF(F6&gt;=E6,"Met","Not met"),IF(F6&lt;=E6,"Met","Not met")))</f>
        <v>Pending</v>
      </c>
      <c r="H6" s="28" t="s">
        <v>364</v>
      </c>
    </row>
    <row r="7" customFormat="false" ht="15" hidden="false" customHeight="false" outlineLevel="0" collapsed="false">
      <c r="A7" s="28" t="s">
        <v>33</v>
      </c>
      <c r="B7" s="28" t="s">
        <v>34</v>
      </c>
      <c r="C7" s="28" t="s">
        <v>365</v>
      </c>
      <c r="D7" s="28" t="s">
        <v>361</v>
      </c>
      <c r="E7" s="44" t="n">
        <v>30</v>
      </c>
      <c r="F7" s="45"/>
      <c r="G7" s="28" t="str">
        <f aca="false">IF(F7="","Pending",IF(D7="&gt;=",IF(F7&gt;=E7,"Met","Not met"),IF(F7&lt;=E7,"Met","Not met")))</f>
        <v>Pending</v>
      </c>
      <c r="H7" s="28" t="s">
        <v>366</v>
      </c>
    </row>
    <row r="8" customFormat="false" ht="15" hidden="false" customHeight="false" outlineLevel="0" collapsed="false">
      <c r="A8" s="28" t="s">
        <v>33</v>
      </c>
      <c r="B8" s="28" t="s">
        <v>34</v>
      </c>
      <c r="C8" s="28" t="s">
        <v>367</v>
      </c>
      <c r="D8" s="28" t="s">
        <v>361</v>
      </c>
      <c r="E8" s="44" t="n">
        <v>3</v>
      </c>
      <c r="F8" s="45"/>
      <c r="G8" s="28" t="str">
        <f aca="false">IF(F8="","Pending",IF(D8="&gt;=",IF(F8&gt;=E8,"Met","Not met"),IF(F8&lt;=E8,"Met","Not met")))</f>
        <v>Pending</v>
      </c>
      <c r="H8" s="28" t="s">
        <v>368</v>
      </c>
    </row>
    <row r="9" customFormat="false" ht="15" hidden="false" customHeight="false" outlineLevel="0" collapsed="false">
      <c r="A9" s="28" t="s">
        <v>33</v>
      </c>
      <c r="B9" s="28" t="s">
        <v>34</v>
      </c>
      <c r="C9" s="28" t="s">
        <v>369</v>
      </c>
      <c r="D9" s="28" t="s">
        <v>361</v>
      </c>
      <c r="E9" s="44" t="n">
        <v>1</v>
      </c>
      <c r="F9" s="45"/>
      <c r="G9" s="28" t="str">
        <f aca="false">IF(F9="","Pending",IF(D9="&gt;=",IF(F9&gt;=E9,"Met","Not met"),IF(F9&lt;=E9,"Met","Not met")))</f>
        <v>Pending</v>
      </c>
      <c r="H9" s="28" t="s">
        <v>370</v>
      </c>
    </row>
    <row r="10" customFormat="false" ht="15" hidden="false" customHeight="false" outlineLevel="0" collapsed="false">
      <c r="A10" s="28" t="s">
        <v>33</v>
      </c>
      <c r="B10" s="28" t="s">
        <v>34</v>
      </c>
      <c r="C10" s="28" t="s">
        <v>371</v>
      </c>
      <c r="D10" s="28" t="s">
        <v>361</v>
      </c>
      <c r="E10" s="44" t="n">
        <v>3</v>
      </c>
      <c r="F10" s="45"/>
      <c r="G10" s="28" t="str">
        <f aca="false">IF(F10="","Pending",IF(D10="&gt;=",IF(F10&gt;=E10,"Met","Not met"),IF(F10&lt;=E10,"Met","Not met")))</f>
        <v>Pending</v>
      </c>
      <c r="H10" s="28" t="s">
        <v>372</v>
      </c>
    </row>
    <row r="11" customFormat="false" ht="15" hidden="false" customHeight="false" outlineLevel="0" collapsed="false">
      <c r="A11" s="28" t="s">
        <v>35</v>
      </c>
      <c r="B11" s="28" t="s">
        <v>36</v>
      </c>
      <c r="C11" s="28" t="s">
        <v>373</v>
      </c>
      <c r="D11" s="28" t="s">
        <v>361</v>
      </c>
      <c r="E11" s="44" t="n">
        <v>1</v>
      </c>
      <c r="F11" s="45"/>
      <c r="G11" s="28" t="str">
        <f aca="false">IF(F11="","Pending",IF(D11="&gt;=",IF(F11&gt;=E11,"Met","Not met"),IF(F11&lt;=E11,"Met","Not met")))</f>
        <v>Pending</v>
      </c>
      <c r="H11" s="28" t="s">
        <v>374</v>
      </c>
    </row>
    <row r="12" customFormat="false" ht="15" hidden="false" customHeight="false" outlineLevel="0" collapsed="false">
      <c r="A12" s="28" t="s">
        <v>35</v>
      </c>
      <c r="B12" s="28" t="s">
        <v>36</v>
      </c>
      <c r="C12" s="28" t="s">
        <v>375</v>
      </c>
      <c r="D12" s="28" t="s">
        <v>361</v>
      </c>
      <c r="E12" s="44" t="n">
        <v>1</v>
      </c>
      <c r="F12" s="45"/>
      <c r="G12" s="28" t="str">
        <f aca="false">IF(F12="","Pending",IF(D12="&gt;=",IF(F12&gt;=E12,"Met","Not met"),IF(F12&lt;=E12,"Met","Not met")))</f>
        <v>Pending</v>
      </c>
      <c r="H12" s="28" t="s">
        <v>376</v>
      </c>
    </row>
    <row r="13" customFormat="false" ht="15" hidden="false" customHeight="false" outlineLevel="0" collapsed="false">
      <c r="A13" s="28" t="s">
        <v>35</v>
      </c>
      <c r="B13" s="28" t="s">
        <v>36</v>
      </c>
      <c r="C13" s="28" t="s">
        <v>377</v>
      </c>
      <c r="D13" s="28" t="s">
        <v>361</v>
      </c>
      <c r="E13" s="44" t="n">
        <v>2</v>
      </c>
      <c r="F13" s="45"/>
      <c r="G13" s="28" t="str">
        <f aca="false">IF(F13="","Pending",IF(D13="&gt;=",IF(F13&gt;=E13,"Met","Not met"),IF(F13&lt;=E13,"Met","Not met")))</f>
        <v>Pending</v>
      </c>
      <c r="H13" s="28" t="s">
        <v>378</v>
      </c>
    </row>
    <row r="14" customFormat="false" ht="15" hidden="false" customHeight="false" outlineLevel="0" collapsed="false">
      <c r="A14" s="28" t="s">
        <v>35</v>
      </c>
      <c r="B14" s="28" t="s">
        <v>36</v>
      </c>
      <c r="C14" s="28" t="s">
        <v>379</v>
      </c>
      <c r="D14" s="28" t="s">
        <v>361</v>
      </c>
      <c r="E14" s="44" t="n">
        <v>1</v>
      </c>
      <c r="F14" s="45"/>
      <c r="G14" s="28" t="str">
        <f aca="false">IF(F14="","Pending",IF(D14="&gt;=",IF(F14&gt;=E14,"Met","Not met"),IF(F14&lt;=E14,"Met","Not met")))</f>
        <v>Pending</v>
      </c>
      <c r="H14" s="28" t="s">
        <v>380</v>
      </c>
    </row>
    <row r="15" customFormat="false" ht="15" hidden="false" customHeight="false" outlineLevel="0" collapsed="false">
      <c r="A15" s="28" t="s">
        <v>35</v>
      </c>
      <c r="B15" s="28" t="s">
        <v>36</v>
      </c>
      <c r="C15" s="28" t="s">
        <v>381</v>
      </c>
      <c r="D15" s="28" t="s">
        <v>361</v>
      </c>
      <c r="E15" s="44" t="n">
        <v>3</v>
      </c>
      <c r="F15" s="45"/>
      <c r="G15" s="28" t="str">
        <f aca="false">IF(F15="","Pending",IF(D15="&gt;=",IF(F15&gt;=E15,"Met","Not met"),IF(F15&lt;=E15,"Met","Not met")))</f>
        <v>Pending</v>
      </c>
      <c r="H15" s="28" t="s">
        <v>382</v>
      </c>
    </row>
    <row r="16" customFormat="false" ht="15" hidden="false" customHeight="false" outlineLevel="0" collapsed="false">
      <c r="A16" s="28" t="s">
        <v>35</v>
      </c>
      <c r="B16" s="28" t="s">
        <v>36</v>
      </c>
      <c r="C16" s="28" t="s">
        <v>383</v>
      </c>
      <c r="D16" s="28" t="s">
        <v>361</v>
      </c>
      <c r="E16" s="44" t="n">
        <v>150</v>
      </c>
      <c r="F16" s="45"/>
      <c r="G16" s="28" t="str">
        <f aca="false">IF(F16="","Pending",IF(D16="&gt;=",IF(F16&gt;=E16,"Met","Not met"),IF(F16&lt;=E16,"Met","Not met")))</f>
        <v>Pending</v>
      </c>
      <c r="H16" s="28" t="s">
        <v>384</v>
      </c>
    </row>
    <row r="17" customFormat="false" ht="15" hidden="false" customHeight="false" outlineLevel="0" collapsed="false">
      <c r="A17" s="28" t="s">
        <v>35</v>
      </c>
      <c r="B17" s="28" t="s">
        <v>36</v>
      </c>
      <c r="C17" s="28" t="s">
        <v>385</v>
      </c>
      <c r="D17" s="28" t="s">
        <v>361</v>
      </c>
      <c r="E17" s="44" t="n">
        <v>5</v>
      </c>
      <c r="F17" s="45"/>
      <c r="G17" s="28" t="str">
        <f aca="false">IF(F17="","Pending",IF(D17="&gt;=",IF(F17&gt;=E17,"Met","Not met"),IF(F17&lt;=E17,"Met","Not met")))</f>
        <v>Pending</v>
      </c>
      <c r="H17" s="28" t="s">
        <v>291</v>
      </c>
    </row>
    <row r="18" customFormat="false" ht="15" hidden="false" customHeight="false" outlineLevel="0" collapsed="false">
      <c r="A18" s="28" t="s">
        <v>37</v>
      </c>
      <c r="B18" s="28" t="s">
        <v>38</v>
      </c>
      <c r="C18" s="28" t="s">
        <v>386</v>
      </c>
      <c r="D18" s="28" t="s">
        <v>361</v>
      </c>
      <c r="E18" s="44" t="n">
        <v>150</v>
      </c>
      <c r="F18" s="45"/>
      <c r="G18" s="28" t="str">
        <f aca="false">IF(F18="","Pending",IF(D18="&gt;=",IF(F18&gt;=E18,"Met","Not met"),IF(F18&lt;=E18,"Met","Not met")))</f>
        <v>Pending</v>
      </c>
      <c r="H18" s="28" t="s">
        <v>387</v>
      </c>
    </row>
    <row r="19" customFormat="false" ht="15" hidden="false" customHeight="false" outlineLevel="0" collapsed="false">
      <c r="A19" s="28" t="s">
        <v>37</v>
      </c>
      <c r="B19" s="28" t="s">
        <v>38</v>
      </c>
      <c r="C19" s="28" t="s">
        <v>388</v>
      </c>
      <c r="D19" s="28" t="s">
        <v>361</v>
      </c>
      <c r="E19" s="44" t="n">
        <v>40</v>
      </c>
      <c r="F19" s="45"/>
      <c r="G19" s="28" t="str">
        <f aca="false">IF(F19="","Pending",IF(D19="&gt;=",IF(F19&gt;=E19,"Met","Not met"),IF(F19&lt;=E19,"Met","Not met")))</f>
        <v>Pending</v>
      </c>
      <c r="H19" s="28" t="s">
        <v>387</v>
      </c>
    </row>
    <row r="20" customFormat="false" ht="15" hidden="false" customHeight="false" outlineLevel="0" collapsed="false">
      <c r="A20" s="28" t="s">
        <v>37</v>
      </c>
      <c r="B20" s="28" t="s">
        <v>38</v>
      </c>
      <c r="C20" s="28" t="s">
        <v>389</v>
      </c>
      <c r="D20" s="28" t="s">
        <v>361</v>
      </c>
      <c r="E20" s="44" t="n">
        <v>10</v>
      </c>
      <c r="F20" s="45"/>
      <c r="G20" s="28" t="str">
        <f aca="false">IF(F20="","Pending",IF(D20="&gt;=",IF(F20&gt;=E20,"Met","Not met"),IF(F20&lt;=E20,"Met","Not met")))</f>
        <v>Pending</v>
      </c>
      <c r="H20" s="28" t="s">
        <v>387</v>
      </c>
    </row>
    <row r="21" customFormat="false" ht="15" hidden="false" customHeight="false" outlineLevel="0" collapsed="false">
      <c r="A21" s="28" t="s">
        <v>37</v>
      </c>
      <c r="B21" s="28" t="s">
        <v>38</v>
      </c>
      <c r="C21" s="28" t="s">
        <v>390</v>
      </c>
      <c r="D21" s="28" t="s">
        <v>361</v>
      </c>
      <c r="E21" s="44" t="n">
        <v>5</v>
      </c>
      <c r="F21" s="45"/>
      <c r="G21" s="28" t="str">
        <f aca="false">IF(F21="","Pending",IF(D21="&gt;=",IF(F21&gt;=E21,"Met","Not met"),IF(F21&lt;=E21,"Met","Not met")))</f>
        <v>Pending</v>
      </c>
      <c r="H21" s="28" t="s">
        <v>387</v>
      </c>
    </row>
    <row r="22" customFormat="false" ht="15" hidden="false" customHeight="false" outlineLevel="0" collapsed="false">
      <c r="A22" s="28" t="s">
        <v>37</v>
      </c>
      <c r="B22" s="28" t="s">
        <v>38</v>
      </c>
      <c r="C22" s="28" t="s">
        <v>391</v>
      </c>
      <c r="D22" s="28" t="s">
        <v>361</v>
      </c>
      <c r="E22" s="44" t="n">
        <v>40</v>
      </c>
      <c r="F22" s="45"/>
      <c r="G22" s="28" t="str">
        <f aca="false">IF(F22="","Pending",IF(D22="&gt;=",IF(F22&gt;=E22,"Met","Not met"),IF(F22&lt;=E22,"Met","Not met")))</f>
        <v>Pending</v>
      </c>
      <c r="H22" s="28" t="s">
        <v>392</v>
      </c>
    </row>
    <row r="23" customFormat="false" ht="15" hidden="false" customHeight="false" outlineLevel="0" collapsed="false">
      <c r="A23" s="28" t="s">
        <v>37</v>
      </c>
      <c r="B23" s="28" t="s">
        <v>38</v>
      </c>
      <c r="C23" s="28" t="s">
        <v>393</v>
      </c>
      <c r="D23" s="28" t="s">
        <v>394</v>
      </c>
      <c r="E23" s="44" t="n">
        <v>500</v>
      </c>
      <c r="F23" s="45"/>
      <c r="G23" s="28" t="str">
        <f aca="false">IF(F23="","Pending",IF(D23="&gt;=",IF(F23&gt;=E23,"Met","Not met"),IF(F23&lt;=E23,"Met","Not met")))</f>
        <v>Pending</v>
      </c>
      <c r="H23" s="28" t="s">
        <v>387</v>
      </c>
    </row>
    <row r="24" customFormat="false" ht="15" hidden="false" customHeight="false" outlineLevel="0" collapsed="false">
      <c r="A24" s="28" t="s">
        <v>39</v>
      </c>
      <c r="B24" s="28" t="s">
        <v>40</v>
      </c>
      <c r="C24" s="28" t="s">
        <v>395</v>
      </c>
      <c r="D24" s="28" t="s">
        <v>361</v>
      </c>
      <c r="E24" s="44" t="n">
        <v>25</v>
      </c>
      <c r="F24" s="45"/>
      <c r="G24" s="28" t="str">
        <f aca="false">IF(F24="","Pending",IF(D24="&gt;=",IF(F24&gt;=E24,"Met","Not met"),IF(F24&lt;=E24,"Met","Not met")))</f>
        <v>Pending</v>
      </c>
      <c r="H24" s="28" t="s">
        <v>396</v>
      </c>
    </row>
    <row r="25" customFormat="false" ht="15" hidden="false" customHeight="false" outlineLevel="0" collapsed="false">
      <c r="A25" s="28" t="s">
        <v>39</v>
      </c>
      <c r="B25" s="28" t="s">
        <v>40</v>
      </c>
      <c r="C25" s="28" t="s">
        <v>397</v>
      </c>
      <c r="D25" s="28" t="s">
        <v>361</v>
      </c>
      <c r="E25" s="44" t="n">
        <v>8</v>
      </c>
      <c r="F25" s="45"/>
      <c r="G25" s="28" t="str">
        <f aca="false">IF(F25="","Pending",IF(D25="&gt;=",IF(F25&gt;=E25,"Met","Not met"),IF(F25&lt;=E25,"Met","Not met")))</f>
        <v>Pending</v>
      </c>
      <c r="H25" s="28" t="s">
        <v>396</v>
      </c>
    </row>
    <row r="26" customFormat="false" ht="15" hidden="false" customHeight="false" outlineLevel="0" collapsed="false">
      <c r="A26" s="28" t="s">
        <v>39</v>
      </c>
      <c r="B26" s="28" t="s">
        <v>40</v>
      </c>
      <c r="C26" s="28" t="s">
        <v>398</v>
      </c>
      <c r="D26" s="28" t="s">
        <v>361</v>
      </c>
      <c r="E26" s="44" t="n">
        <v>1</v>
      </c>
      <c r="F26" s="45"/>
      <c r="G26" s="28" t="str">
        <f aca="false">IF(F26="","Pending",IF(D26="&gt;=",IF(F26&gt;=E26,"Met","Not met"),IF(F26&lt;=E26,"Met","Not met")))</f>
        <v>Pending</v>
      </c>
      <c r="H26" s="28" t="s">
        <v>396</v>
      </c>
    </row>
    <row r="28" customFormat="false" ht="15" hidden="false" customHeight="false" outlineLevel="0" collapsed="false">
      <c r="C28" s="6" t="s">
        <v>399</v>
      </c>
    </row>
  </sheetData>
  <conditionalFormatting sqref="G5:G26">
    <cfRule type="cellIs" priority="2" operator="equal" aboveAverage="0" equalAverage="0" bottom="0" percent="0" rank="0" text="" dxfId="15">
      <formula>"Met"</formula>
    </cfRule>
    <cfRule type="cellIs" priority="3" operator="equal" aboveAverage="0" equalAverage="0" bottom="0" percent="0" rank="0" text="" dxfId="17">
      <formula>"Not met"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6"/>
    <col collapsed="false" customWidth="true" hidden="false" outlineLevel="0" max="2" min="2" style="0" width="18"/>
    <col collapsed="false" customWidth="true" hidden="false" outlineLevel="0" max="3" min="3" style="0" width="60"/>
    <col collapsed="false" customWidth="true" hidden="false" outlineLevel="0" max="4" min="4" style="0" width="34"/>
    <col collapsed="false" customWidth="true" hidden="false" outlineLevel="0" max="5" min="5" style="0" width="12"/>
    <col collapsed="false" customWidth="true" hidden="false" outlineLevel="0" max="6" min="6" style="0" width="16"/>
    <col collapsed="false" customWidth="true" hidden="false" outlineLevel="0" max="8" min="7" style="0" width="14"/>
  </cols>
  <sheetData>
    <row r="1" customFormat="false" ht="19.7" hidden="false" customHeight="false" outlineLevel="0" collapsed="false">
      <c r="A1" s="1" t="s">
        <v>400</v>
      </c>
    </row>
    <row r="2" customFormat="false" ht="15" hidden="false" customHeight="false" outlineLevel="0" collapsed="false">
      <c r="A2" s="2" t="s">
        <v>401</v>
      </c>
    </row>
    <row r="4" customFormat="false" ht="30" hidden="false" customHeight="true" outlineLevel="0" collapsed="false">
      <c r="A4" s="9" t="s">
        <v>402</v>
      </c>
      <c r="B4" s="9" t="s">
        <v>55</v>
      </c>
      <c r="C4" s="9" t="s">
        <v>403</v>
      </c>
      <c r="D4" s="9" t="s">
        <v>404</v>
      </c>
      <c r="E4" s="9" t="s">
        <v>405</v>
      </c>
      <c r="F4" s="9" t="s">
        <v>406</v>
      </c>
      <c r="G4" s="9" t="s">
        <v>407</v>
      </c>
      <c r="H4" s="9" t="s">
        <v>408</v>
      </c>
    </row>
    <row r="5" customFormat="false" ht="23.85" hidden="false" customHeight="false" outlineLevel="0" collapsed="false">
      <c r="A5" s="28" t="s">
        <v>72</v>
      </c>
      <c r="B5" s="28" t="s">
        <v>409</v>
      </c>
      <c r="C5" s="28" t="s">
        <v>410</v>
      </c>
      <c r="D5" s="28" t="s">
        <v>411</v>
      </c>
      <c r="E5" s="28" t="n">
        <v>1</v>
      </c>
      <c r="F5" s="32" t="n">
        <v>0</v>
      </c>
      <c r="G5" s="48" t="n">
        <v>3</v>
      </c>
      <c r="H5" s="49" t="n">
        <f aca="false">F5*G5</f>
        <v>0</v>
      </c>
    </row>
    <row r="6" customFormat="false" ht="15" hidden="false" customHeight="false" outlineLevel="0" collapsed="false">
      <c r="A6" s="28" t="s">
        <v>73</v>
      </c>
      <c r="B6" s="28" t="s">
        <v>409</v>
      </c>
      <c r="C6" s="28" t="s">
        <v>412</v>
      </c>
      <c r="D6" s="28" t="s">
        <v>74</v>
      </c>
      <c r="E6" s="28" t="n">
        <v>1</v>
      </c>
      <c r="F6" s="32" t="n">
        <v>0</v>
      </c>
      <c r="G6" s="48" t="n">
        <v>3</v>
      </c>
      <c r="H6" s="49" t="n">
        <f aca="false">F6*G6</f>
        <v>0</v>
      </c>
    </row>
    <row r="7" customFormat="false" ht="23.85" hidden="false" customHeight="false" outlineLevel="0" collapsed="false">
      <c r="A7" s="28" t="s">
        <v>158</v>
      </c>
      <c r="B7" s="28" t="s">
        <v>413</v>
      </c>
      <c r="C7" s="28" t="s">
        <v>414</v>
      </c>
      <c r="D7" s="28" t="s">
        <v>415</v>
      </c>
      <c r="E7" s="28" t="n">
        <v>2</v>
      </c>
      <c r="F7" s="32" t="n">
        <v>22000</v>
      </c>
      <c r="G7" s="48" t="n">
        <v>3</v>
      </c>
      <c r="H7" s="49" t="n">
        <f aca="false">F7*G7</f>
        <v>66000</v>
      </c>
    </row>
    <row r="8" customFormat="false" ht="23.85" hidden="false" customHeight="false" outlineLevel="0" collapsed="false">
      <c r="A8" s="28" t="s">
        <v>199</v>
      </c>
      <c r="B8" s="28" t="s">
        <v>416</v>
      </c>
      <c r="C8" s="28" t="s">
        <v>417</v>
      </c>
      <c r="D8" s="28" t="s">
        <v>418</v>
      </c>
      <c r="E8" s="28" t="n">
        <v>5</v>
      </c>
      <c r="F8" s="32" t="n">
        <v>6000</v>
      </c>
      <c r="G8" s="48" t="n">
        <v>3</v>
      </c>
      <c r="H8" s="49" t="n">
        <f aca="false">F8*G8</f>
        <v>18000</v>
      </c>
    </row>
    <row r="9" customFormat="false" ht="15" hidden="false" customHeight="false" outlineLevel="0" collapsed="false">
      <c r="A9" s="28" t="s">
        <v>88</v>
      </c>
      <c r="B9" s="28" t="s">
        <v>413</v>
      </c>
      <c r="C9" s="28" t="s">
        <v>419</v>
      </c>
      <c r="D9" s="28" t="s">
        <v>74</v>
      </c>
      <c r="E9" s="28" t="n">
        <v>1</v>
      </c>
      <c r="F9" s="32" t="n">
        <v>12000</v>
      </c>
      <c r="G9" s="48" t="n">
        <v>3</v>
      </c>
      <c r="H9" s="49" t="n">
        <f aca="false">F9*G9</f>
        <v>36000</v>
      </c>
    </row>
    <row r="10" customFormat="false" ht="15" hidden="false" customHeight="false" outlineLevel="0" collapsed="false">
      <c r="A10" s="28" t="s">
        <v>104</v>
      </c>
      <c r="B10" s="28" t="s">
        <v>413</v>
      </c>
      <c r="C10" s="28" t="s">
        <v>420</v>
      </c>
      <c r="D10" s="28" t="s">
        <v>74</v>
      </c>
      <c r="E10" s="28" t="n">
        <v>2</v>
      </c>
      <c r="F10" s="32" t="n">
        <v>15000</v>
      </c>
      <c r="G10" s="48" t="n">
        <v>3</v>
      </c>
      <c r="H10" s="49" t="n">
        <f aca="false">F10*G10</f>
        <v>45000</v>
      </c>
    </row>
    <row r="11" customFormat="false" ht="15" hidden="false" customHeight="false" outlineLevel="0" collapsed="false">
      <c r="A11" s="28" t="s">
        <v>109</v>
      </c>
      <c r="B11" s="28" t="s">
        <v>421</v>
      </c>
      <c r="C11" s="28" t="s">
        <v>422</v>
      </c>
      <c r="D11" s="28" t="s">
        <v>74</v>
      </c>
      <c r="E11" s="28" t="n">
        <v>4</v>
      </c>
      <c r="F11" s="32" t="n">
        <v>8000</v>
      </c>
      <c r="G11" s="48" t="n">
        <v>2</v>
      </c>
      <c r="H11" s="49" t="n">
        <f aca="false">F11*G11</f>
        <v>16000</v>
      </c>
    </row>
    <row r="12" customFormat="false" ht="15" hidden="false" customHeight="false" outlineLevel="0" collapsed="false">
      <c r="A12" s="28" t="s">
        <v>89</v>
      </c>
      <c r="B12" s="28" t="s">
        <v>423</v>
      </c>
      <c r="C12" s="28" t="s">
        <v>424</v>
      </c>
      <c r="D12" s="28" t="s">
        <v>74</v>
      </c>
      <c r="E12" s="28" t="n">
        <v>5</v>
      </c>
      <c r="F12" s="32" t="n">
        <v>8000</v>
      </c>
      <c r="G12" s="48" t="n">
        <v>3</v>
      </c>
      <c r="H12" s="49" t="n">
        <f aca="false">F12*G12</f>
        <v>24000</v>
      </c>
    </row>
    <row r="13" customFormat="false" ht="15" hidden="false" customHeight="false" outlineLevel="0" collapsed="false">
      <c r="A13" s="28" t="s">
        <v>180</v>
      </c>
      <c r="B13" s="28" t="s">
        <v>425</v>
      </c>
      <c r="C13" s="28" t="s">
        <v>426</v>
      </c>
      <c r="D13" s="28" t="s">
        <v>74</v>
      </c>
      <c r="E13" s="28" t="n">
        <v>7</v>
      </c>
      <c r="F13" s="32" t="n">
        <v>5000</v>
      </c>
      <c r="G13" s="48" t="n">
        <v>3</v>
      </c>
      <c r="H13" s="49" t="n">
        <f aca="false">F13*G13</f>
        <v>15000</v>
      </c>
    </row>
    <row r="14" customFormat="false" ht="15" hidden="false" customHeight="false" outlineLevel="0" collapsed="false">
      <c r="A14" s="28" t="s">
        <v>427</v>
      </c>
      <c r="B14" s="28" t="s">
        <v>428</v>
      </c>
      <c r="C14" s="28" t="s">
        <v>429</v>
      </c>
      <c r="D14" s="28" t="s">
        <v>430</v>
      </c>
      <c r="E14" s="28" t="n">
        <v>8</v>
      </c>
      <c r="F14" s="32" t="n">
        <v>10000</v>
      </c>
      <c r="G14" s="48" t="n">
        <v>2</v>
      </c>
      <c r="H14" s="49" t="n">
        <f aca="false">F14*G14</f>
        <v>20000</v>
      </c>
    </row>
    <row r="15" customFormat="false" ht="15" hidden="false" customHeight="false" outlineLevel="0" collapsed="false">
      <c r="A15" s="28" t="s">
        <v>81</v>
      </c>
      <c r="B15" s="28" t="s">
        <v>431</v>
      </c>
      <c r="C15" s="28" t="s">
        <v>432</v>
      </c>
      <c r="D15" s="28" t="s">
        <v>433</v>
      </c>
      <c r="E15" s="28" t="n">
        <v>2</v>
      </c>
      <c r="F15" s="32" t="n">
        <v>0</v>
      </c>
      <c r="G15" s="48" t="n">
        <v>0</v>
      </c>
      <c r="H15" s="49" t="n">
        <f aca="false">F15*G15</f>
        <v>0</v>
      </c>
    </row>
    <row r="16" customFormat="false" ht="15" hidden="false" customHeight="false" outlineLevel="0" collapsed="false">
      <c r="A16" s="28" t="s">
        <v>146</v>
      </c>
      <c r="B16" s="28" t="s">
        <v>434</v>
      </c>
      <c r="C16" s="28" t="s">
        <v>435</v>
      </c>
      <c r="D16" s="28" t="s">
        <v>74</v>
      </c>
      <c r="E16" s="28" t="n">
        <v>2</v>
      </c>
      <c r="F16" s="32" t="n">
        <v>0</v>
      </c>
      <c r="G16" s="48" t="n">
        <v>0</v>
      </c>
      <c r="H16" s="49" t="n">
        <f aca="false">F16*G16</f>
        <v>0</v>
      </c>
    </row>
    <row r="17" customFormat="false" ht="15" hidden="false" customHeight="false" outlineLevel="0" collapsed="false">
      <c r="G17" s="4" t="s">
        <v>436</v>
      </c>
      <c r="H17" s="39" t="n">
        <f aca="false">SUM(H5:H16)</f>
        <v>240000</v>
      </c>
    </row>
    <row r="19" customFormat="false" ht="15" hidden="false" customHeight="false" outlineLevel="0" collapsed="false">
      <c r="A19" s="6" t="s">
        <v>437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70"/>
  </cols>
  <sheetData>
    <row r="1" customFormat="false" ht="19.7" hidden="false" customHeight="false" outlineLevel="0" collapsed="false">
      <c r="A1" s="1" t="s">
        <v>438</v>
      </c>
    </row>
    <row r="2" customFormat="false" ht="15" hidden="false" customHeight="false" outlineLevel="0" collapsed="false">
      <c r="A2" s="2" t="s">
        <v>439</v>
      </c>
    </row>
    <row r="4" customFormat="false" ht="30" hidden="false" customHeight="true" outlineLevel="0" collapsed="false">
      <c r="A4" s="9" t="s">
        <v>440</v>
      </c>
      <c r="B4" s="9" t="s">
        <v>441</v>
      </c>
      <c r="C4" s="9" t="s">
        <v>442</v>
      </c>
    </row>
    <row r="5" customFormat="false" ht="15" hidden="false" customHeight="false" outlineLevel="0" collapsed="false">
      <c r="A5" s="50" t="s">
        <v>443</v>
      </c>
      <c r="B5" s="51"/>
      <c r="C5" s="52"/>
    </row>
    <row r="6" customFormat="false" ht="15" hidden="false" customHeight="false" outlineLevel="0" collapsed="false">
      <c r="A6" s="28" t="s">
        <v>17</v>
      </c>
      <c r="B6" s="53" t="n">
        <f aca="false">SUMIFS(Roadmap!$P$5:$P$59,Roadmap!$B$5:$B$59,"P0 Validate")</f>
        <v>25500</v>
      </c>
      <c r="C6" s="52" t="s">
        <v>444</v>
      </c>
    </row>
    <row r="7" customFormat="false" ht="15" hidden="false" customHeight="false" outlineLevel="0" collapsed="false">
      <c r="A7" s="28" t="s">
        <v>19</v>
      </c>
      <c r="B7" s="53" t="n">
        <f aca="false">SUMIFS(Roadmap!$P$5:$P$59,Roadmap!$B$5:$B$59,"P1 Set up")</f>
        <v>93000</v>
      </c>
      <c r="C7" s="52" t="s">
        <v>445</v>
      </c>
    </row>
    <row r="8" customFormat="false" ht="15" hidden="false" customHeight="false" outlineLevel="0" collapsed="false">
      <c r="A8" s="28" t="s">
        <v>21</v>
      </c>
      <c r="B8" s="53" t="n">
        <f aca="false">SUMIFS(Roadmap!$P$5:$P$59,Roadmap!$B$5:$B$59,"P2 Pilot")</f>
        <v>49000</v>
      </c>
      <c r="C8" s="52" t="s">
        <v>446</v>
      </c>
    </row>
    <row r="9" customFormat="false" ht="15" hidden="false" customHeight="false" outlineLevel="0" collapsed="false">
      <c r="A9" s="28" t="s">
        <v>23</v>
      </c>
      <c r="B9" s="53" t="n">
        <f aca="false">SUMIFS(Roadmap!$P$5:$P$59,Roadmap!$B$5:$B$59,"P3 Raise")</f>
        <v>8000</v>
      </c>
      <c r="C9" s="52" t="s">
        <v>447</v>
      </c>
    </row>
    <row r="10" customFormat="false" ht="15" hidden="false" customHeight="false" outlineLevel="0" collapsed="false">
      <c r="A10" s="50" t="s">
        <v>448</v>
      </c>
      <c r="B10" s="54" t="n">
        <f aca="false">SUM(B6:B9)</f>
        <v>175500</v>
      </c>
      <c r="C10" s="52"/>
    </row>
    <row r="11" customFormat="false" ht="15" hidden="false" customHeight="false" outlineLevel="0" collapsed="false">
      <c r="A11" s="28" t="s">
        <v>449</v>
      </c>
      <c r="B11" s="53" t="n">
        <f aca="false">Roles!H17</f>
        <v>240000</v>
      </c>
      <c r="C11" s="52" t="s">
        <v>450</v>
      </c>
    </row>
    <row r="12" customFormat="false" ht="15" hidden="false" customHeight="false" outlineLevel="0" collapsed="false">
      <c r="A12" s="28" t="s">
        <v>451</v>
      </c>
      <c r="B12" s="47" t="n">
        <v>0.15</v>
      </c>
      <c r="C12" s="52" t="s">
        <v>452</v>
      </c>
    </row>
    <row r="13" customFormat="false" ht="15" hidden="false" customHeight="false" outlineLevel="0" collapsed="false">
      <c r="A13" s="28" t="s">
        <v>453</v>
      </c>
      <c r="B13" s="53" t="n">
        <f aca="false">B12*(B10+B11)</f>
        <v>62325</v>
      </c>
      <c r="C13" s="52"/>
    </row>
    <row r="14" customFormat="false" ht="15" hidden="false" customHeight="false" outlineLevel="0" collapsed="false">
      <c r="A14" s="50" t="s">
        <v>454</v>
      </c>
      <c r="B14" s="54" t="n">
        <f aca="false">B10+B11+B13</f>
        <v>477825</v>
      </c>
      <c r="C14" s="52"/>
    </row>
    <row r="15" customFormat="false" ht="22.35" hidden="false" customHeight="false" outlineLevel="0" collapsed="false">
      <c r="A15" s="28" t="s">
        <v>455</v>
      </c>
      <c r="B15" s="55" t="n">
        <v>100000</v>
      </c>
      <c r="C15" s="52" t="s">
        <v>456</v>
      </c>
    </row>
    <row r="16" customFormat="false" ht="15" hidden="false" customHeight="false" outlineLevel="0" collapsed="false">
      <c r="A16" s="50" t="s">
        <v>457</v>
      </c>
      <c r="B16" s="54" t="n">
        <f aca="false">B14+B15</f>
        <v>577825</v>
      </c>
      <c r="C16" s="52"/>
    </row>
    <row r="17" customFormat="false" ht="15" hidden="false" customHeight="false" outlineLevel="0" collapsed="false">
      <c r="A17" s="28" t="s">
        <v>458</v>
      </c>
      <c r="B17" s="55" t="n">
        <v>0</v>
      </c>
      <c r="C17" s="52" t="s">
        <v>459</v>
      </c>
    </row>
    <row r="18" customFormat="false" ht="15" hidden="false" customHeight="false" outlineLevel="0" collapsed="false">
      <c r="A18" s="50" t="s">
        <v>460</v>
      </c>
      <c r="B18" s="54" t="n">
        <f aca="false">MAX(0,B16-B17)</f>
        <v>577825</v>
      </c>
      <c r="C18" s="52" t="s">
        <v>461</v>
      </c>
    </row>
    <row r="19" customFormat="false" ht="15" hidden="false" customHeight="false" outlineLevel="0" collapsed="false">
      <c r="A19" s="50" t="s">
        <v>462</v>
      </c>
      <c r="B19" s="54" t="n">
        <f aca="false">B18/3.6725</f>
        <v>157338.325391423</v>
      </c>
      <c r="C19" s="52" t="s">
        <v>463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60"/>
    <col collapsed="false" customWidth="true" hidden="false" outlineLevel="0" max="4" min="4" style="0" width="56"/>
    <col collapsed="false" customWidth="true" hidden="false" outlineLevel="0" max="5" min="5" style="0" width="22"/>
    <col collapsed="false" customWidth="true" hidden="false" outlineLevel="0" max="6" min="6" style="0" width="10"/>
    <col collapsed="false" customWidth="true" hidden="false" outlineLevel="0" max="7" min="7" style="0" width="14"/>
  </cols>
  <sheetData>
    <row r="1" customFormat="false" ht="19.7" hidden="false" customHeight="false" outlineLevel="0" collapsed="false">
      <c r="A1" s="1" t="s">
        <v>464</v>
      </c>
    </row>
    <row r="2" customFormat="false" ht="15" hidden="false" customHeight="false" outlineLevel="0" collapsed="false">
      <c r="A2" s="2" t="s">
        <v>465</v>
      </c>
    </row>
    <row r="4" customFormat="false" ht="30" hidden="false" customHeight="true" outlineLevel="0" collapsed="false">
      <c r="A4" s="9" t="s">
        <v>466</v>
      </c>
      <c r="B4" s="9" t="s">
        <v>467</v>
      </c>
      <c r="C4" s="9" t="s">
        <v>468</v>
      </c>
      <c r="D4" s="9" t="s">
        <v>469</v>
      </c>
      <c r="E4" s="9" t="s">
        <v>352</v>
      </c>
      <c r="F4" s="9" t="s">
        <v>470</v>
      </c>
      <c r="G4" s="9" t="s">
        <v>65</v>
      </c>
    </row>
    <row r="5" customFormat="false" ht="15" hidden="false" customHeight="false" outlineLevel="0" collapsed="false">
      <c r="A5" s="12" t="n">
        <v>1</v>
      </c>
      <c r="B5" s="28" t="s">
        <v>471</v>
      </c>
      <c r="C5" s="28" t="s">
        <v>472</v>
      </c>
      <c r="D5" s="28" t="s">
        <v>473</v>
      </c>
      <c r="E5" s="28" t="s">
        <v>409</v>
      </c>
      <c r="F5" s="30" t="n">
        <v>3</v>
      </c>
      <c r="G5" s="56" t="s">
        <v>76</v>
      </c>
    </row>
    <row r="6" customFormat="false" ht="23.85" hidden="false" customHeight="false" outlineLevel="0" collapsed="false">
      <c r="A6" s="12" t="n">
        <v>2</v>
      </c>
      <c r="B6" s="28" t="s">
        <v>474</v>
      </c>
      <c r="C6" s="28" t="s">
        <v>475</v>
      </c>
      <c r="D6" s="28" t="s">
        <v>476</v>
      </c>
      <c r="E6" s="28" t="s">
        <v>409</v>
      </c>
      <c r="F6" s="30" t="n">
        <v>5</v>
      </c>
      <c r="G6" s="56" t="s">
        <v>76</v>
      </c>
    </row>
    <row r="7" customFormat="false" ht="15" hidden="false" customHeight="false" outlineLevel="0" collapsed="false">
      <c r="A7" s="12" t="n">
        <v>3</v>
      </c>
      <c r="B7" s="28" t="s">
        <v>477</v>
      </c>
      <c r="C7" s="28" t="s">
        <v>478</v>
      </c>
      <c r="D7" s="28" t="s">
        <v>479</v>
      </c>
      <c r="E7" s="28" t="s">
        <v>88</v>
      </c>
      <c r="F7" s="30" t="n">
        <v>5</v>
      </c>
      <c r="G7" s="56" t="s">
        <v>76</v>
      </c>
    </row>
    <row r="8" customFormat="false" ht="23.85" hidden="false" customHeight="false" outlineLevel="0" collapsed="false">
      <c r="A8" s="12" t="n">
        <v>4</v>
      </c>
      <c r="B8" s="28" t="s">
        <v>480</v>
      </c>
      <c r="C8" s="28" t="s">
        <v>481</v>
      </c>
      <c r="D8" s="28" t="s">
        <v>482</v>
      </c>
      <c r="E8" s="28" t="s">
        <v>409</v>
      </c>
      <c r="F8" s="30" t="n">
        <v>4</v>
      </c>
      <c r="G8" s="56" t="s">
        <v>76</v>
      </c>
    </row>
    <row r="9" customFormat="false" ht="15" hidden="false" customHeight="false" outlineLevel="0" collapsed="false">
      <c r="A9" s="12" t="n">
        <v>5</v>
      </c>
      <c r="B9" s="28" t="s">
        <v>483</v>
      </c>
      <c r="C9" s="28" t="s">
        <v>484</v>
      </c>
      <c r="D9" s="28" t="s">
        <v>485</v>
      </c>
      <c r="E9" s="28" t="s">
        <v>409</v>
      </c>
      <c r="F9" s="30" t="n">
        <v>4</v>
      </c>
      <c r="G9" s="56" t="s">
        <v>76</v>
      </c>
    </row>
    <row r="10" customFormat="false" ht="15" hidden="false" customHeight="false" outlineLevel="0" collapsed="false">
      <c r="A10" s="12" t="n">
        <v>6</v>
      </c>
      <c r="B10" s="28" t="s">
        <v>486</v>
      </c>
      <c r="C10" s="28" t="s">
        <v>487</v>
      </c>
      <c r="D10" s="28" t="s">
        <v>488</v>
      </c>
      <c r="E10" s="28" t="s">
        <v>73</v>
      </c>
      <c r="F10" s="30" t="n">
        <v>7</v>
      </c>
      <c r="G10" s="56" t="s">
        <v>76</v>
      </c>
    </row>
    <row r="11" customFormat="false" ht="23.85" hidden="false" customHeight="false" outlineLevel="0" collapsed="false">
      <c r="A11" s="12" t="n">
        <v>7</v>
      </c>
      <c r="B11" s="28" t="s">
        <v>489</v>
      </c>
      <c r="C11" s="28" t="s">
        <v>490</v>
      </c>
      <c r="D11" s="28" t="s">
        <v>491</v>
      </c>
      <c r="E11" s="28" t="s">
        <v>180</v>
      </c>
      <c r="F11" s="30" t="n">
        <v>9</v>
      </c>
      <c r="G11" s="56" t="s">
        <v>76</v>
      </c>
    </row>
    <row r="12" customFormat="false" ht="15" hidden="false" customHeight="false" outlineLevel="0" collapsed="false">
      <c r="A12" s="12" t="n">
        <v>8</v>
      </c>
      <c r="B12" s="28" t="s">
        <v>492</v>
      </c>
      <c r="C12" s="28" t="s">
        <v>493</v>
      </c>
      <c r="D12" s="28" t="s">
        <v>494</v>
      </c>
      <c r="E12" s="28" t="s">
        <v>180</v>
      </c>
      <c r="F12" s="30" t="n">
        <v>8</v>
      </c>
      <c r="G12" s="56" t="s">
        <v>76</v>
      </c>
    </row>
    <row r="13" customFormat="false" ht="15" hidden="false" customHeight="false" outlineLevel="0" collapsed="false">
      <c r="A13" s="12" t="n">
        <v>9</v>
      </c>
      <c r="B13" s="28" t="s">
        <v>495</v>
      </c>
      <c r="C13" s="28" t="s">
        <v>496</v>
      </c>
      <c r="D13" s="28" t="s">
        <v>497</v>
      </c>
      <c r="E13" s="28" t="s">
        <v>409</v>
      </c>
      <c r="F13" s="30" t="n">
        <v>12</v>
      </c>
      <c r="G13" s="56" t="s">
        <v>76</v>
      </c>
    </row>
    <row r="14" customFormat="false" ht="23.85" hidden="false" customHeight="false" outlineLevel="0" collapsed="false">
      <c r="A14" s="12" t="n">
        <v>10</v>
      </c>
      <c r="B14" s="28" t="s">
        <v>498</v>
      </c>
      <c r="C14" s="28" t="s">
        <v>499</v>
      </c>
      <c r="D14" s="28" t="s">
        <v>500</v>
      </c>
      <c r="E14" s="28" t="s">
        <v>88</v>
      </c>
      <c r="F14" s="30" t="n">
        <v>12</v>
      </c>
      <c r="G14" s="56" t="s">
        <v>76</v>
      </c>
    </row>
    <row r="15" customFormat="false" ht="15" hidden="false" customHeight="false" outlineLevel="0" collapsed="false">
      <c r="A15" s="12" t="n">
        <v>11</v>
      </c>
      <c r="B15" s="28" t="s">
        <v>501</v>
      </c>
      <c r="C15" s="28" t="s">
        <v>502</v>
      </c>
      <c r="D15" s="28" t="s">
        <v>503</v>
      </c>
      <c r="E15" s="28" t="s">
        <v>409</v>
      </c>
      <c r="F15" s="30" t="n">
        <v>6</v>
      </c>
      <c r="G15" s="56" t="s">
        <v>76</v>
      </c>
    </row>
    <row r="16" customFormat="false" ht="23.85" hidden="false" customHeight="false" outlineLevel="0" collapsed="false">
      <c r="A16" s="12" t="n">
        <v>12</v>
      </c>
      <c r="B16" s="28" t="s">
        <v>504</v>
      </c>
      <c r="C16" s="28" t="s">
        <v>505</v>
      </c>
      <c r="D16" s="28" t="s">
        <v>506</v>
      </c>
      <c r="E16" s="28" t="s">
        <v>199</v>
      </c>
      <c r="F16" s="30" t="n">
        <v>9</v>
      </c>
      <c r="G16" s="56" t="s">
        <v>76</v>
      </c>
    </row>
    <row r="17" customFormat="false" ht="15" hidden="false" customHeight="false" outlineLevel="0" collapsed="false">
      <c r="A17" s="12" t="n">
        <v>13</v>
      </c>
      <c r="B17" s="28" t="s">
        <v>507</v>
      </c>
      <c r="C17" s="28" t="s">
        <v>508</v>
      </c>
      <c r="D17" s="28" t="s">
        <v>450</v>
      </c>
      <c r="E17" s="28" t="s">
        <v>409</v>
      </c>
      <c r="F17" s="30" t="n">
        <v>6</v>
      </c>
      <c r="G17" s="56" t="s">
        <v>76</v>
      </c>
    </row>
    <row r="18" customFormat="false" ht="15" hidden="false" customHeight="false" outlineLevel="0" collapsed="false">
      <c r="A18" s="12" t="n">
        <v>14</v>
      </c>
      <c r="B18" s="28" t="s">
        <v>509</v>
      </c>
      <c r="C18" s="28" t="s">
        <v>510</v>
      </c>
      <c r="D18" s="28" t="s">
        <v>511</v>
      </c>
      <c r="E18" s="28" t="s">
        <v>180</v>
      </c>
      <c r="F18" s="30" t="n">
        <v>12</v>
      </c>
      <c r="G18" s="56" t="s">
        <v>76</v>
      </c>
    </row>
    <row r="19" customFormat="false" ht="15" hidden="false" customHeight="false" outlineLevel="0" collapsed="false">
      <c r="A19" s="12" t="n">
        <v>15</v>
      </c>
      <c r="B19" s="28" t="s">
        <v>512</v>
      </c>
      <c r="C19" s="28" t="s">
        <v>513</v>
      </c>
      <c r="D19" s="28" t="s">
        <v>514</v>
      </c>
      <c r="E19" s="28" t="s">
        <v>409</v>
      </c>
      <c r="F19" s="30" t="n">
        <v>12</v>
      </c>
      <c r="G19" s="56" t="s">
        <v>76</v>
      </c>
    </row>
    <row r="20" customFormat="false" ht="15" hidden="false" customHeight="false" outlineLevel="0" collapsed="false">
      <c r="A20" s="12" t="n">
        <v>16</v>
      </c>
      <c r="B20" s="28" t="s">
        <v>515</v>
      </c>
      <c r="C20" s="28" t="s">
        <v>516</v>
      </c>
      <c r="D20" s="28" t="s">
        <v>517</v>
      </c>
      <c r="E20" s="28" t="s">
        <v>409</v>
      </c>
      <c r="F20" s="30" t="n">
        <v>12</v>
      </c>
      <c r="G20" s="56" t="s">
        <v>76</v>
      </c>
    </row>
  </sheetData>
  <dataValidations count="1">
    <dataValidation allowBlank="false" errorStyle="stop" operator="between" showDropDown="false" showErrorMessage="false" showInputMessage="false" sqref="G5:G20" type="list">
      <formula1>"Not started,Drafting,Needs data,Ready"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60"/>
    <col collapsed="false" customWidth="true" hidden="false" outlineLevel="0" max="3" min="3" style="0" width="90"/>
  </cols>
  <sheetData>
    <row r="1" customFormat="false" ht="19.7" hidden="false" customHeight="false" outlineLevel="0" collapsed="false">
      <c r="A1" s="1" t="s">
        <v>518</v>
      </c>
    </row>
    <row r="2" customFormat="false" ht="15" hidden="false" customHeight="false" outlineLevel="0" collapsed="false">
      <c r="A2" s="2" t="s">
        <v>519</v>
      </c>
    </row>
    <row r="4" customFormat="false" ht="30" hidden="false" customHeight="true" outlineLevel="0" collapsed="false">
      <c r="A4" s="9" t="s">
        <v>520</v>
      </c>
      <c r="B4" s="9" t="s">
        <v>521</v>
      </c>
      <c r="C4" s="9" t="s">
        <v>522</v>
      </c>
    </row>
    <row r="5" customFormat="false" ht="15" hidden="false" customHeight="false" outlineLevel="0" collapsed="false">
      <c r="A5" s="28" t="s">
        <v>523</v>
      </c>
      <c r="B5" s="28" t="s">
        <v>524</v>
      </c>
      <c r="C5" s="57" t="s">
        <v>525</v>
      </c>
    </row>
    <row r="6" customFormat="false" ht="15" hidden="false" customHeight="false" outlineLevel="0" collapsed="false">
      <c r="A6" s="28" t="s">
        <v>526</v>
      </c>
      <c r="B6" s="28" t="s">
        <v>527</v>
      </c>
      <c r="C6" s="57" t="s">
        <v>528</v>
      </c>
    </row>
    <row r="7" customFormat="false" ht="15" hidden="false" customHeight="false" outlineLevel="0" collapsed="false">
      <c r="A7" s="28" t="s">
        <v>529</v>
      </c>
      <c r="B7" s="28" t="s">
        <v>530</v>
      </c>
      <c r="C7" s="57" t="s">
        <v>531</v>
      </c>
    </row>
    <row r="8" customFormat="false" ht="15" hidden="false" customHeight="false" outlineLevel="0" collapsed="false">
      <c r="A8" s="28" t="s">
        <v>532</v>
      </c>
      <c r="B8" s="28" t="s">
        <v>533</v>
      </c>
      <c r="C8" s="57" t="s">
        <v>534</v>
      </c>
    </row>
    <row r="9" customFormat="false" ht="15" hidden="false" customHeight="false" outlineLevel="0" collapsed="false">
      <c r="A9" s="28" t="s">
        <v>535</v>
      </c>
      <c r="B9" s="28" t="s">
        <v>536</v>
      </c>
      <c r="C9" s="57" t="s">
        <v>537</v>
      </c>
    </row>
    <row r="10" customFormat="false" ht="15" hidden="false" customHeight="false" outlineLevel="0" collapsed="false">
      <c r="A10" s="28" t="s">
        <v>538</v>
      </c>
      <c r="B10" s="28" t="s">
        <v>539</v>
      </c>
      <c r="C10" s="57" t="s">
        <v>540</v>
      </c>
    </row>
    <row r="11" customFormat="false" ht="15" hidden="false" customHeight="false" outlineLevel="0" collapsed="false">
      <c r="A11" s="28" t="s">
        <v>541</v>
      </c>
      <c r="B11" s="28" t="s">
        <v>542</v>
      </c>
      <c r="C11" s="57" t="s">
        <v>543</v>
      </c>
    </row>
    <row r="12" customFormat="false" ht="15" hidden="false" customHeight="false" outlineLevel="0" collapsed="false">
      <c r="A12" s="28" t="s">
        <v>544</v>
      </c>
      <c r="B12" s="28" t="s">
        <v>545</v>
      </c>
      <c r="C12" s="28" t="s">
        <v>74</v>
      </c>
    </row>
  </sheetData>
  <hyperlinks>
    <hyperlink ref="C5" r:id="rId1" display="https://joinoliva.com/en/learn/blog/dubai-real-estate-brokerage-regulations-2026"/>
    <hyperlink ref="C6" r:id="rId2" display="https://takweenadvisory.ae/en/blog/how-to-get-rera-license-dubai"/>
    <hyperlink ref="C7" r:id="rId3" display="https://www.shuraa.com/blog/2019/07/what-is-the-cost-of-opening-a-real-estate-brokerage-in-dubai.html"/>
    <hyperlink ref="C8" r:id="rId4" display="https://afridi-angell.com/wp-content/uploads/2026/01/inBrief-Responsibilities-and-Code-of-Ethics-for-Real-Estate-Brokers-in-Dubai.pdf"/>
    <hyperlink ref="C9" r:id="rId5" display="https://amluae.com/aml-regulations-for-dnfbps-in-uae/"/>
    <hyperlink ref="C10" r:id="rId6" display="https://dubailand.gov.ae/en/eservices/buy-or-sell-property-via-dubai-now/"/>
    <hyperlink ref="C11" r:id="rId7" display="https://www.wam.ae/en/article/bm6n7kr-adrec-launches-digital-buy-sell-journe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2026-10-06T18:29:08Z</dcterms:created>
  <dc:creator>openpyxl</dc:creator>
  <dc:description/>
  <dc:language>en-US</dc:language>
  <cp:lastModifiedBy/>
  <dcterms:modified xsi:type="dcterms:W3CDTF">2026-10-06T18:29:09Z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