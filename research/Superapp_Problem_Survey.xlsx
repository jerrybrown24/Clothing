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Questionnaire" sheetId="2" state="visible" r:id="rId4"/>
    <sheet name="Sampling plan" sheetId="3" state="visible" r:id="rId5"/>
    <sheet name="Interview guide" sheetId="4" state="visible" r:id="rId6"/>
    <sheet name="Responses" sheetId="5" state="visible" r:id="rId7"/>
    <sheet name="Analysis" sheetId="6" state="visible" r:id="rId8"/>
  </sheets>
  <definedNames>
    <definedName function="false" hidden="true" localSheetId="1" name="_xlnm._FilterDatabase" vbProcedure="false">Questionnaire!$A$4:$J$60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<sst xmlns="http://schemas.openxmlformats.org/spreadsheetml/2006/main" count="817" uniqueCount="418">
  <si>
    <t xml:space="preserve">Problem survey kit: prove to investors the problem is real</t>
  </si>
  <si>
    <t xml:space="preserve">Use these five tabs in order: Questionnaire, Sampling plan, Responses, Analysis. Interview guide supports the depth calls.</t>
  </si>
  <si>
    <t xml:space="preserve">What this is</t>
  </si>
  <si>
    <t xml:space="preserve">A 9-minute questionnaire, a sampling plan, a responses sheet and an analysis sheet. Each question tests a numbered hypothesis (H1 to H12). The Analysis sheet shows whether each hypothesis is supported and writes a ready-to-use sentence for the deck.</t>
  </si>
  <si>
    <t xml:space="preserve">Step 1</t>
  </si>
  <si>
    <t xml:space="preserve">Copy the Questionnaire into Google Forms or Typeform. Keep the answer wording exactly as written. Add the consent text at the end of the Questionnaire sheet before question A1.</t>
  </si>
  <si>
    <t xml:space="preserve">Step 2</t>
  </si>
  <si>
    <t xml:space="preserve">Pilot it with 5 people. Time it. Fix anything unclear.</t>
  </si>
  <si>
    <t xml:space="preserve">Step 3</t>
  </si>
  <si>
    <t xml:space="preserve">Use the Sampling plan to reach 300+ answers (about half from overseas). Track answers by segment weekly.</t>
  </si>
  <si>
    <t xml:space="preserve">Step 4</t>
  </si>
  <si>
    <t xml:space="preserve">Export responses as CSV. Paste into the Responses sheet from row 7. Match columns by their Q code. Row 6 is only an example.</t>
  </si>
  <si>
    <t xml:space="preserve">Step 5</t>
  </si>
  <si>
    <t xml:space="preserve">Open Analysis. Read the verdicts, the step ranking and the generated statements. Put the 5 strongest statements and 5 quotes in the deck (slide numbers are on each row).</t>
  </si>
  <si>
    <t xml:space="preserve">Thresholds</t>
  </si>
  <si>
    <t xml:space="preserve">The "pass if at least" numbers are suggestions. Agree them with your advisors before you look at the results.</t>
  </si>
  <si>
    <t xml:space="preserve">Limits</t>
  </si>
  <si>
    <t xml:space="preserve">This is a convenience sample. Say so on the slide. It shows the pain is real and common among people you reached, not a census of the UAE. Concept-test answers (F and G) show interest, not future behaviour.</t>
  </si>
  <si>
    <t xml:space="preserve">Compliance</t>
  </si>
  <si>
    <t xml:space="preserve">Section G tests interest in a referral fee. Do not promise payments to unlicensed people until your legal opinion confirms a lawful structure. Do not collect contact details without the consent screen.</t>
  </si>
  <si>
    <t xml:space="preserve">Data entry notes</t>
  </si>
  <si>
    <t xml:space="preserve">Questions B4 and C3 have commas in their answers, so they have no dropdown in Responses. Paste the exact wording. Multi-choice and open-text questions (B1, B11, C1, C4, E1, E2 and others) are read manually; tag themes in a separate sheet or tool.</t>
  </si>
  <si>
    <t xml:space="preserve">Colour code</t>
  </si>
  <si>
    <t xml:space="preserve">Blue text = input you can change. Yellow fill = cells to fill in. Grey italic = example, not counted.</t>
  </si>
  <si>
    <t xml:space="preserve">Questionnaire (about 9 minutes)</t>
  </si>
  <si>
    <t xml:space="preserve">Copy each row into Google Forms or Typeform. Keep the option wording exactly so the Responses and Analysis sheets keep working. Multi-choice and open-text questions are read manually.</t>
  </si>
  <si>
    <t xml:space="preserve">Q</t>
  </si>
  <si>
    <t xml:space="preserve">Section</t>
  </si>
  <si>
    <t xml:space="preserve">Question text</t>
  </si>
  <si>
    <t xml:space="preserve">Answer type</t>
  </si>
  <si>
    <t xml:space="preserve">Answer options (in order)</t>
  </si>
  <si>
    <t xml:space="preserve">Required</t>
  </si>
  <si>
    <t xml:space="preserve">Show if</t>
  </si>
  <si>
    <t xml:space="preserve">Tests</t>
  </si>
  <si>
    <t xml:space="preserve">Deck slide</t>
  </si>
  <si>
    <t xml:space="preserve">Responses column</t>
  </si>
  <si>
    <t xml:space="preserve">A1</t>
  </si>
  <si>
    <t xml:space="preserve">A. About you</t>
  </si>
  <si>
    <t xml:space="preserve">Which best describes you?</t>
  </si>
  <si>
    <t xml:space="preserve">Single choice</t>
  </si>
  <si>
    <t xml:space="preserve">I bought property in the UAE in the last 3 years | I own UAE property as an investment | I plan to buy UAE property in the next 12 months | I rent in the UAE | I plan to rent in the UAE in the next 12 months | I work in UAE real estate (agent, broker, developer) | None of these</t>
  </si>
  <si>
    <t xml:space="preserve">Yes</t>
  </si>
  <si>
    <t xml:space="preserve">Always</t>
  </si>
  <si>
    <t xml:space="preserve">Screener</t>
  </si>
  <si>
    <t xml:space="preserve">3</t>
  </si>
  <si>
    <t xml:space="preserve">A2</t>
  </si>
  <si>
    <t xml:space="preserve">Where do you live now?</t>
  </si>
  <si>
    <t xml:space="preserve">In the UAE | Outside the UAE</t>
  </si>
  <si>
    <t xml:space="preserve">A1 is not "None of these"</t>
  </si>
  <si>
    <t xml:space="preserve">Segment cut</t>
  </si>
  <si>
    <t xml:space="preserve">A3</t>
  </si>
  <si>
    <t xml:space="preserve">Which country do you live in?</t>
  </si>
  <si>
    <t xml:space="preserve">Dropdown (countries)</t>
  </si>
  <si>
    <t xml:space="preserve">No</t>
  </si>
  <si>
    <t xml:space="preserve">A2 = Outside the UAE</t>
  </si>
  <si>
    <t xml:space="preserve">-</t>
  </si>
  <si>
    <t xml:space="preserve">A4</t>
  </si>
  <si>
    <t xml:space="preserve">Your age band</t>
  </si>
  <si>
    <t xml:space="preserve">18-24 | 25-34 | 35-44 | 45-54 | 55 or over</t>
  </si>
  <si>
    <t xml:space="preserve">Profile</t>
  </si>
  <si>
    <t xml:space="preserve">A5</t>
  </si>
  <si>
    <t xml:space="preserve">What is your typical budget for buying a property?</t>
  </si>
  <si>
    <t xml:space="preserve">Under AED 500k | AED 500k-1m | AED 1m-2m | AED 2m-5m | Over AED 5m | Not sure</t>
  </si>
  <si>
    <t xml:space="preserve">A1 is a buyer or investor</t>
  </si>
  <si>
    <t xml:space="preserve">A6</t>
  </si>
  <si>
    <t xml:space="preserve">What is your typical yearly rent budget?</t>
  </si>
  <si>
    <t xml:space="preserve">Under AED 60k | AED 60k-120k | AED 120k-250k | Over AED 250k | Not sure</t>
  </si>
  <si>
    <t xml:space="preserve">A1 is a renter</t>
  </si>
  <si>
    <t xml:space="preserve">A7</t>
  </si>
  <si>
    <t xml:space="preserve">What is the main purpose?</t>
  </si>
  <si>
    <t xml:space="preserve">Live in it | Rental income or investment | Both | Holiday home</t>
  </si>
  <si>
    <t xml:space="preserve">B1</t>
  </si>
  <si>
    <t xml:space="preserve">B. Your property journey</t>
  </si>
  <si>
    <t xml:space="preserve">Where did you start your search? (pick all that apply)</t>
  </si>
  <si>
    <t xml:space="preserve">Multi choice</t>
  </si>
  <si>
    <t xml:space="preserve">Property portal | Developer website | Agent or broker | Friends and family | Social media or YouTube | Search engine or AI chat | Other</t>
  </si>
  <si>
    <t xml:space="preserve">A1 is not a professional</t>
  </si>
  <si>
    <t xml:space="preserve">Context</t>
  </si>
  <si>
    <t xml:space="preserve">2</t>
  </si>
  <si>
    <t xml:space="preserve">B2</t>
  </si>
  <si>
    <t xml:space="preserve">How many different websites, apps or people did you use before deciding?</t>
  </si>
  <si>
    <t xml:space="preserve">1-2 | 3-5 | 6-10 | More than 10</t>
  </si>
  <si>
    <t xml:space="preserve">B3a</t>
  </si>
  <si>
    <t xml:space="preserve">How difficult was this step: Finding reliable information on prices and areas? (1 = very easy, 5 = very difficult, N/A allowed)</t>
  </si>
  <si>
    <t xml:space="preserve">Rating 1-5 (matrix row)</t>
  </si>
  <si>
    <t xml:space="preserve">1 | 2 | 3 | 4 | 5 | N/A</t>
  </si>
  <si>
    <t xml:space="preserve">H1, H4 and step ranking</t>
  </si>
  <si>
    <t xml:space="preserve">B3b</t>
  </si>
  <si>
    <t xml:space="preserve">How difficult was this step: Comparing options fairly? (1 = very easy, 5 = very difficult, N/A allowed)</t>
  </si>
  <si>
    <t xml:space="preserve">B3c</t>
  </si>
  <si>
    <t xml:space="preserve">How difficult was this step: Checking that a listing, developer or seller is genuine? (1 = very easy, 5 = very difficult, N/A allowed)</t>
  </si>
  <si>
    <t xml:space="preserve">B3d</t>
  </si>
  <si>
    <t xml:space="preserve">How difficult was this step: Understanding the total cost including fees? (1 = very easy, 5 = very difficult, N/A allowed)</t>
  </si>
  <si>
    <t xml:space="preserve">B3e</t>
  </si>
  <si>
    <t xml:space="preserve">How difficult was this step: Paperwork and government registrations? (1 = very easy, 5 = very difficult, N/A allowed)</t>
  </si>
  <si>
    <t xml:space="preserve">B3f</t>
  </si>
  <si>
    <t xml:space="preserve">How difficult was this step: Arranging finance or payment? (1 = very easy, 5 = very difficult, N/A allowed)</t>
  </si>
  <si>
    <t xml:space="preserve">B3g</t>
  </si>
  <si>
    <t xml:space="preserve">How difficult was this step: Tracking payments and deadlines? (1 = very easy, 5 = very difficult, N/A allowed)</t>
  </si>
  <si>
    <t xml:space="preserve">B3h</t>
  </si>
  <si>
    <t xml:space="preserve">How difficult was this step: Handover, snagging or move-in? (1 = very easy, 5 = very difficult, N/A allowed)</t>
  </si>
  <si>
    <t xml:space="preserve">B3i</t>
  </si>
  <si>
    <t xml:space="preserve">How difficult was this step: Furnishing or designing the home? (1 = very easy, 5 = very difficult, N/A allowed)</t>
  </si>
  <si>
    <t xml:space="preserve">B4</t>
  </si>
  <si>
    <t xml:space="preserve">Have you contacted someone about an advertised property and found it was already sold or rented, or not as described?</t>
  </si>
  <si>
    <t xml:space="preserve">Yes, more than once | Yes, once | No | Not sure</t>
  </si>
  <si>
    <t xml:space="preserve">H2</t>
  </si>
  <si>
    <t xml:space="preserve">B5</t>
  </si>
  <si>
    <t xml:space="preserve">Did you face costs you did not expect (fees, charges, service charges)?</t>
  </si>
  <si>
    <t xml:space="preserve">Yes | No | Not sure</t>
  </si>
  <si>
    <t xml:space="preserve">H3</t>
  </si>
  <si>
    <t xml:space="preserve">B6</t>
  </si>
  <si>
    <t xml:space="preserve">From first search to keys or title deed, about how many weeks did it take? (enter a number)</t>
  </si>
  <si>
    <t xml:space="preserve">Number</t>
  </si>
  <si>
    <t xml:space="preserve">A1 is a past buyer or renter</t>
  </si>
  <si>
    <t xml:space="preserve">B7</t>
  </si>
  <si>
    <t xml:space="preserve">How confident were you that the price or rent you agreed was fair? (1 = not at all, 5 = completely)</t>
  </si>
  <si>
    <t xml:space="preserve">Rating 1-5</t>
  </si>
  <si>
    <t xml:space="preserve">1 | 2 | 3 | 4 | 5</t>
  </si>
  <si>
    <t xml:space="preserve">H12</t>
  </si>
  <si>
    <t xml:space="preserve">B8</t>
  </si>
  <si>
    <t xml:space="preserve">Did you use an agent?</t>
  </si>
  <si>
    <t xml:space="preserve">Yes | No</t>
  </si>
  <si>
    <t xml:space="preserve">B9</t>
  </si>
  <si>
    <t xml:space="preserve">How satisfied were you with your agent? (1 = very unhappy, 5 = very happy)</t>
  </si>
  <si>
    <t xml:space="preserve">B8 = Yes</t>
  </si>
  <si>
    <t xml:space="preserve">B10</t>
  </si>
  <si>
    <t xml:space="preserve">Have you ever delayed or given up on buying or renting because it felt too complicated or risky?</t>
  </si>
  <si>
    <t xml:space="preserve">H4</t>
  </si>
  <si>
    <t xml:space="preserve">B11</t>
  </si>
  <si>
    <t xml:space="preserve">What was the single biggest frustration? (your words)</t>
  </si>
  <si>
    <t xml:space="preserve">Open text</t>
  </si>
  <si>
    <t xml:space="preserve">Quotes</t>
  </si>
  <si>
    <t xml:space="preserve">B12</t>
  </si>
  <si>
    <t xml:space="preserve">What do you wish someone had told you before you started?</t>
  </si>
  <si>
    <t xml:space="preserve">C1</t>
  </si>
  <si>
    <t xml:space="preserve">C. Information and insights</t>
  </si>
  <si>
    <t xml:space="preserve">Which information would help you decide most? (pick up to 3)</t>
  </si>
  <si>
    <t xml:space="preserve">Multi choice (max 3)</t>
  </si>
  <si>
    <t xml:space="preserve">Price trends by area | Rental yield | Developer delivery record | Service charges | Supply pipeline in the area | How easily I can resell | Mortgage affordability | Neighbourhood quality</t>
  </si>
  <si>
    <t xml:space="preserve">Insights design</t>
  </si>
  <si>
    <t xml:space="preserve">6</t>
  </si>
  <si>
    <t xml:space="preserve">C2</t>
  </si>
  <si>
    <t xml:space="preserve">How much do you trust the information on property portals? (1 = not at all, 5 = completely)</t>
  </si>
  <si>
    <t xml:space="preserve">H11</t>
  </si>
  <si>
    <t xml:space="preserve">C3</t>
  </si>
  <si>
    <t xml:space="preserve">Would you pay for independent insights such as price trends, yield and developer delivery record?</t>
  </si>
  <si>
    <t xml:space="preserve">No, only if free | Yes, one-off up to AED 50 | Yes, one-off AED 50-150 | Yes, one-off AED 150-500 | Yes, monthly subscription</t>
  </si>
  <si>
    <t xml:space="preserve">H6</t>
  </si>
  <si>
    <t xml:space="preserve">7</t>
  </si>
  <si>
    <t xml:space="preserve">C4</t>
  </si>
  <si>
    <t xml:space="preserve">How do you decide today whether a deal is good? (your words)</t>
  </si>
  <si>
    <t xml:space="preserve">D1</t>
  </si>
  <si>
    <t xml:space="preserve">D. 3D view and designing the home</t>
  </si>
  <si>
    <t xml:space="preserve">How important is a 3D walkthrough of the exact unit before you buy or rent? (1 = not important, 5 = essential)</t>
  </si>
  <si>
    <t xml:space="preserve">H7</t>
  </si>
  <si>
    <t xml:space="preserve">D2</t>
  </si>
  <si>
    <t xml:space="preserve">Would a 3D walkthrough make you comfortable reserving without visiting in person?</t>
  </si>
  <si>
    <t xml:space="preserve">Yes | Maybe | No</t>
  </si>
  <si>
    <t xml:space="preserve">D3</t>
  </si>
  <si>
    <t xml:space="preserve">After buying or renting, how interested would you be in designing and furnishing the home virtually first? (1 = not at all, 5 = very)</t>
  </si>
  <si>
    <t xml:space="preserve">H10</t>
  </si>
  <si>
    <t xml:space="preserve">D4</t>
  </si>
  <si>
    <t xml:space="preserve">Would you buy furniture through the same app?</t>
  </si>
  <si>
    <t xml:space="preserve">Definitely | Probably | Not sure | Probably not | Definitely not</t>
  </si>
  <si>
    <t xml:space="preserve">D5</t>
  </si>
  <si>
    <t xml:space="preserve">Would you book an interior designer through the same app?</t>
  </si>
  <si>
    <t xml:space="preserve">D6</t>
  </si>
  <si>
    <t xml:space="preserve">What budget do you set for furnishing and design?</t>
  </si>
  <si>
    <t xml:space="preserve">Under AED 20k | AED 20k-50k | AED 50k-100k | AED 100k-250k | Over AED 250k | Not planning to</t>
  </si>
  <si>
    <t xml:space="preserve">Sizing</t>
  </si>
  <si>
    <t xml:space="preserve">8</t>
  </si>
  <si>
    <t xml:space="preserve">D7</t>
  </si>
  <si>
    <t xml:space="preserve">What is hardest about furnishing or designing a home here? (your words)</t>
  </si>
  <si>
    <t xml:space="preserve">E1</t>
  </si>
  <si>
    <t xml:space="preserve">E. Documents, registrations and payments</t>
  </si>
  <si>
    <t xml:space="preserve">Which of these did you handle yourself or through an agent? (pick all that apply)</t>
  </si>
  <si>
    <t xml:space="preserve">DLD or Oqood registration | Title deed | Ejari | DEWA setup | Mortgage paperwork | Service charge setup | Instalment tracking | Visa or Golden Visa | Insurance</t>
  </si>
  <si>
    <t xml:space="preserve">E2</t>
  </si>
  <si>
    <t xml:space="preserve">How do you track instalments and deadlines today? (pick all that apply)</t>
  </si>
  <si>
    <t xml:space="preserve">Spreadsheet | Agent reminders | Developer portal | Bank | Phone calendar | Memory | I do not track</t>
  </si>
  <si>
    <t xml:space="preserve">H5</t>
  </si>
  <si>
    <t xml:space="preserve">E3</t>
  </si>
  <si>
    <t xml:space="preserve">Have you ever missed or been late on a payment, registration or document deadline?</t>
  </si>
  <si>
    <t xml:space="preserve">H5a</t>
  </si>
  <si>
    <t xml:space="preserve">E4</t>
  </si>
  <si>
    <t xml:space="preserve">How useful would one dashboard be for all documents, registrations and payment reminders? (1 = not useful, 5 = very useful)</t>
  </si>
  <si>
    <t xml:space="preserve">H5b</t>
  </si>
  <si>
    <t xml:space="preserve">E5</t>
  </si>
  <si>
    <t xml:space="preserve">How comfortable would you be letting a licensed company handle registrations for you? (1 = not at all, 5 = fully)</t>
  </si>
  <si>
    <t xml:space="preserve">Trust</t>
  </si>
  <si>
    <t xml:space="preserve">12</t>
  </si>
  <si>
    <t xml:space="preserve">F1</t>
  </si>
  <si>
    <t xml:space="preserve">F. The idea</t>
  </si>
  <si>
    <t xml:space="preserve">Idea: one app and one licensed company that helps you research with verified data, view the exact unit in 3D, reserve or rent online, then handles documents, registrations and payment reminders. Buying off-plan costs you no extra fee (the developer pays). On resale you see one clear fee upfront. How likely would you be to use it? (1 = never, 5 = definitely)</t>
  </si>
  <si>
    <t xml:space="preserve">H8</t>
  </si>
  <si>
    <t xml:space="preserve">5</t>
  </si>
  <si>
    <t xml:space="preserve">F2</t>
  </si>
  <si>
    <t xml:space="preserve">What would stop you? (pick all that apply)</t>
  </si>
  <si>
    <t xml:space="preserve">Trust in a new company | Fees | I prefer a human agent | Data privacy | Not seeing the property in person | Payment security | Nothing | Other</t>
  </si>
  <si>
    <t xml:space="preserve">Objections</t>
  </si>
  <si>
    <t xml:space="preserve">10</t>
  </si>
  <si>
    <t xml:space="preserve">F3</t>
  </si>
  <si>
    <t xml:space="preserve">For a full-service resale purchase, what fee would you accept?</t>
  </si>
  <si>
    <t xml:space="preserve">0% (only if free) | Up to 0.5% | 0.5-1% | 1-2% | More than 2%</t>
  </si>
  <si>
    <t xml:space="preserve">Pricing</t>
  </si>
  <si>
    <t xml:space="preserve">F4</t>
  </si>
  <si>
    <t xml:space="preserve">Which one feature matters most?</t>
  </si>
  <si>
    <t xml:space="preserve">Verified listings | Independent insights | 3D view | Document and payment tracker | Designer and furniture | Lowest fees</t>
  </si>
  <si>
    <t xml:space="preserve">Priorities</t>
  </si>
  <si>
    <t xml:space="preserve">F5</t>
  </si>
  <si>
    <t xml:space="preserve">Would you like early access?</t>
  </si>
  <si>
    <t xml:space="preserve">Waitlist</t>
  </si>
  <si>
    <t xml:space="preserve">9</t>
  </si>
  <si>
    <t xml:space="preserve">F6</t>
  </si>
  <si>
    <t xml:space="preserve">If yes, your email or WhatsApp (optional, used only to contact you about early access)</t>
  </si>
  <si>
    <t xml:space="preserve">Short text</t>
  </si>
  <si>
    <t xml:space="preserve">F5 = Yes</t>
  </si>
  <si>
    <t xml:space="preserve">G1</t>
  </si>
  <si>
    <t xml:space="preserve">G. Introducing friends (UAE residents)</t>
  </si>
  <si>
    <t xml:space="preserve">In the last 12 months, how many people asked you for advice on buying or renting property?</t>
  </si>
  <si>
    <t xml:space="preserve">0 | 1-2 | 3-5 | 6 or more</t>
  </si>
  <si>
    <t xml:space="preserve">A2 = In the UAE</t>
  </si>
  <si>
    <t xml:space="preserve">H9</t>
  </si>
  <si>
    <t xml:space="preserve">G2</t>
  </si>
  <si>
    <t xml:space="preserve">Have you ever introduced someone to an agent or developer?</t>
  </si>
  <si>
    <t xml:space="preserve">G3</t>
  </si>
  <si>
    <t xml:space="preserve">Concept test only: no payment is promised or offered. If you could earn a fee for introducing a buyer to a licensed brokerage, how likely would you be to do it? (1 = never, 5 = definitely)</t>
  </si>
  <si>
    <t xml:space="preserve">G4</t>
  </si>
  <si>
    <t xml:space="preserve">What would motivate you most? (pick all that apply)</t>
  </si>
  <si>
    <t xml:space="preserve">Cash reward | Share of commission | Guaranteed payout time | Recognition | Nothing</t>
  </si>
  <si>
    <t xml:space="preserve">G5</t>
  </si>
  <si>
    <t xml:space="preserve">What concerns would you have? (pick all that apply)</t>
  </si>
  <si>
    <t xml:space="preserve">Legal or licence rules | Trust in the company | Paperwork | Time | Risk to my reputation</t>
  </si>
  <si>
    <t xml:space="preserve">G6</t>
  </si>
  <si>
    <t xml:space="preserve">Would you consider getting a RERA broker licence if the company sponsored your training?</t>
  </si>
  <si>
    <t xml:space="preserve">H1</t>
  </si>
  <si>
    <t xml:space="preserve">H. Close</t>
  </si>
  <si>
    <t xml:space="preserve">Can we contact you for a 30-minute interview?</t>
  </si>
  <si>
    <t xml:space="preserve">Interviews</t>
  </si>
  <si>
    <t xml:space="preserve">Consent screen (show before Q A1)</t>
  </si>
  <si>
    <t xml:space="preserve">This survey is anonymous unless you choose to share contact details. We use answers only to understand how people buy and rent property in the UAE. Data is stored securely, is not sold, and you can ask us to delete it at any time. By continuing you agree. (Have a UAE lawyer confirm this wording under the UAE personal data protection law before launch.)</t>
  </si>
  <si>
    <t xml:space="preserve">Question design rules applied: one idea per question, neutral wording, 1-5 scales labelled at both ends, "N/A" allowed, no promise of payment in the referral section, concept described the same way to everyone.</t>
  </si>
  <si>
    <t xml:space="preserve">Sampling plan</t>
  </si>
  <si>
    <t xml:space="preserve">Who to ask, how many, and where. A convenience sample is fine for a pre-seed pitch if you say so. Do not claim it represents all of the UAE.</t>
  </si>
  <si>
    <t xml:space="preserve">Segment</t>
  </si>
  <si>
    <t xml:space="preserve">Target answers</t>
  </si>
  <si>
    <t xml:space="preserve">Minimum for a segment claim</t>
  </si>
  <si>
    <t xml:space="preserve">Where to find them</t>
  </si>
  <si>
    <t xml:space="preserve">Incentive (suggested)</t>
  </si>
  <si>
    <t xml:space="preserve">Owner</t>
  </si>
  <si>
    <t xml:space="preserve">Overseas people planning to buy in the UAE</t>
  </si>
  <si>
    <t xml:space="preserve">LinkedIn and Facebook groups for NRIs, UK and Pakistani expats; Reddit property threads; WhatsApp communities; ads targeted by country</t>
  </si>
  <si>
    <t xml:space="preserve">Prize draw (AED 500 voucher)</t>
  </si>
  <si>
    <t xml:space="preserve">Head of Growth</t>
  </si>
  <si>
    <t xml:space="preserve">UAE residents who bought or invest in the last 3 years</t>
  </si>
  <si>
    <t xml:space="preserve">Resident Facebook and WhatsApp groups, LinkedIn, personal network, developer owner groups</t>
  </si>
  <si>
    <t xml:space="preserve">Prize draw</t>
  </si>
  <si>
    <t xml:space="preserve">UAE renters and planning to rent</t>
  </si>
  <si>
    <t xml:space="preserve">Community groups, office HR networks, universities</t>
  </si>
  <si>
    <t xml:space="preserve">Real estate professionals (agents, brokers, developers)</t>
  </si>
  <si>
    <t xml:space="preserve">LinkedIn, Trakheesi broker network, events. Only complete section G and H</t>
  </si>
  <si>
    <t xml:space="preserve">None</t>
  </si>
  <si>
    <t xml:space="preserve">Partnerships Lead</t>
  </si>
  <si>
    <t xml:space="preserve">Total target</t>
  </si>
  <si>
    <t xml:space="preserve">Margin of error calculator</t>
  </si>
  <si>
    <t xml:space="preserve">Number of answers</t>
  </si>
  <si>
    <t xml:space="preserve">Margin of error (95% confidence, worst case)</t>
  </si>
  <si>
    <t xml:space="preserve">Example: 300 answers gives about +/-5.7%.</t>
  </si>
  <si>
    <t xml:space="preserve">Bias controls</t>
  </si>
  <si>
    <t xml:space="preserve">Do not send the survey only to friends; cap any single source at 30% of answers.</t>
  </si>
  <si>
    <t xml:space="preserve">Ask about past behaviour first (Section B) and the idea last (Section F), so the idea does not colour earlier answers.</t>
  </si>
  <si>
    <t xml:space="preserve">Describe the concept the same way to every respondent.</t>
  </si>
  <si>
    <t xml:space="preserve">Remove duplicate and incomplete answers; keep a log of what you removed.</t>
  </si>
  <si>
    <t xml:space="preserve">Report the sample size and how people were found on the slide footnote.</t>
  </si>
  <si>
    <t xml:space="preserve">Show bad news honestly. Investors trust a number that sometimes fails a threshold.</t>
  </si>
  <si>
    <t xml:space="preserve">Interview guide (30-40 minutes)</t>
  </si>
  <si>
    <t xml:space="preserve">Use with survey respondents who ticked "OK to contact". Record with permission. Tag every quote with a hypothesis number.</t>
  </si>
  <si>
    <t xml:space="preserve">#</t>
  </si>
  <si>
    <t xml:space="preserve">Question or prompt</t>
  </si>
  <si>
    <t xml:space="preserve">What you are listening for</t>
  </si>
  <si>
    <t xml:space="preserve">Hypothesis</t>
  </si>
  <si>
    <t xml:space="preserve">Walk me through the last time you bought or rented a property, from the first search to getting the keys.</t>
  </si>
  <si>
    <t xml:space="preserve">Steps, tools, time, who helped</t>
  </si>
  <si>
    <t xml:space="preserve">H1, H4</t>
  </si>
  <si>
    <t xml:space="preserve">Where did you feel least in control or most worried?</t>
  </si>
  <si>
    <t xml:space="preserve">Fear points, trust gaps</t>
  </si>
  <si>
    <t xml:space="preserve">H2, H11</t>
  </si>
  <si>
    <t xml:space="preserve">Tell me about a time a listing, price or promise turned out different from what you expected.</t>
  </si>
  <si>
    <t xml:space="preserve">Real stories of unavailable or misdescribed listings</t>
  </si>
  <si>
    <t xml:space="preserve">What costs surprised you?</t>
  </si>
  <si>
    <t xml:space="preserve">Hidden fees, service charges, DLD fee</t>
  </si>
  <si>
    <t xml:space="preserve">How did you keep track of documents, instalments and deadlines?</t>
  </si>
  <si>
    <t xml:space="preserve">Spreadsheet, memory, agent; any missed deadline</t>
  </si>
  <si>
    <t xml:space="preserve">H5a, H5b</t>
  </si>
  <si>
    <t xml:space="preserve">What would you have paid to make it easier, and for which part?</t>
  </si>
  <si>
    <t xml:space="preserve">Willingness to pay, which step</t>
  </si>
  <si>
    <t xml:space="preserve">How useful would it have been to walk through the exact unit in 3D before deciding? What else would you need?</t>
  </si>
  <si>
    <t xml:space="preserve">Real need for 3D vs nice to have</t>
  </si>
  <si>
    <t xml:space="preserve">After getting the keys, how did you furnish or design the home? What was hard?</t>
  </si>
  <si>
    <t xml:space="preserve">Furniture and designer demand</t>
  </si>
  <si>
    <t xml:space="preserve">Describe the idea in your own words after I explain it. What would make you trust it? What would stop you?</t>
  </si>
  <si>
    <t xml:space="preserve">Objections, trust, price</t>
  </si>
  <si>
    <t xml:space="preserve">(UAE residents) If friends asked you about property, what would make you introduce them to a company for a fee?</t>
  </si>
  <si>
    <t xml:space="preserve">Referral appetite, concerns</t>
  </si>
  <si>
    <t xml:space="preserve">Responses: paste your survey export here</t>
  </si>
  <si>
    <t xml:space="preserve">Row 6 is an example and is NOT counted. Paste real answers from row 7 down, one row per respondent. Use the exact option wording from the Questionnaire sheet. Ratings are numbers 1 to 5.</t>
  </si>
  <si>
    <t xml:space="preserve">Respondent ID</t>
  </si>
  <si>
    <t xml:space="preserve">Date</t>
  </si>
  <si>
    <t xml:space="preserve">A1 Segment</t>
  </si>
  <si>
    <t xml:space="preserve">A2 Residence</t>
  </si>
  <si>
    <t xml:space="preserve">A5 Budget</t>
  </si>
  <si>
    <t xml:space="preserve">B3a Finding reliable information</t>
  </si>
  <si>
    <t xml:space="preserve">B3b Comparing options fairly</t>
  </si>
  <si>
    <t xml:space="preserve">B3c Checking that a listing, dev</t>
  </si>
  <si>
    <t xml:space="preserve">B3d Understanding the total cost</t>
  </si>
  <si>
    <t xml:space="preserve">B3e Paperwork and government reg</t>
  </si>
  <si>
    <t xml:space="preserve">B3f Arranging finance or payment</t>
  </si>
  <si>
    <t xml:space="preserve">B3g Tracking payments and deadli</t>
  </si>
  <si>
    <t xml:space="preserve">B3h Handover, snagging or move-i</t>
  </si>
  <si>
    <t xml:space="preserve">B3i Furnishing or designing the </t>
  </si>
  <si>
    <t xml:space="preserve">B4 Unavailable or misdescribed</t>
  </si>
  <si>
    <t xml:space="preserve">B5 Unexpected costs</t>
  </si>
  <si>
    <t xml:space="preserve">B6 Weeks to complete</t>
  </si>
  <si>
    <t xml:space="preserve">B7 Price fair 1-5</t>
  </si>
  <si>
    <t xml:space="preserve">B9 Agent satisfaction 1-5</t>
  </si>
  <si>
    <t xml:space="preserve">B10 Delayed or gave up</t>
  </si>
  <si>
    <t xml:space="preserve">C2 Portal trust 1-5</t>
  </si>
  <si>
    <t xml:space="preserve">C3 Pay for insights</t>
  </si>
  <si>
    <t xml:space="preserve">D1 3D importance 1-5</t>
  </si>
  <si>
    <t xml:space="preserve">D2 3D lets me reserve</t>
  </si>
  <si>
    <t xml:space="preserve">D3 Virtual design interest 1-5</t>
  </si>
  <si>
    <t xml:space="preserve">D4 Buy furniture in app</t>
  </si>
  <si>
    <t xml:space="preserve">D5 Book designer in app</t>
  </si>
  <si>
    <t xml:space="preserve">E3 Missed deadline</t>
  </si>
  <si>
    <t xml:space="preserve">E4 Dashboard useful 1-5</t>
  </si>
  <si>
    <t xml:space="preserve">E5 Trust company with registrations 1-5</t>
  </si>
  <si>
    <t xml:space="preserve">F1 Likely to use 1-5</t>
  </si>
  <si>
    <t xml:space="preserve">F3 Acceptable fee</t>
  </si>
  <si>
    <t xml:space="preserve">F5 Early access</t>
  </si>
  <si>
    <t xml:space="preserve">G1 People asked advice</t>
  </si>
  <si>
    <t xml:space="preserve">G3 Likely to refer 1-5</t>
  </si>
  <si>
    <t xml:space="preserve">G6 Consider licence</t>
  </si>
  <si>
    <t xml:space="preserve">H1 Interview OK</t>
  </si>
  <si>
    <t xml:space="preserve">EXAMPLE</t>
  </si>
  <si>
    <t xml:space="preserve">2026-11-02</t>
  </si>
  <si>
    <t xml:space="preserve">I plan to buy UAE property in the next 12 months</t>
  </si>
  <si>
    <t xml:space="preserve">Outside the UAE</t>
  </si>
  <si>
    <t xml:space="preserve">AED 1m-2m</t>
  </si>
  <si>
    <t xml:space="preserve">Yes, once</t>
  </si>
  <si>
    <t xml:space="preserve">Yes, one-off AED 50-150</t>
  </si>
  <si>
    <t xml:space="preserve">Probably</t>
  </si>
  <si>
    <t xml:space="preserve">Not sure</t>
  </si>
  <si>
    <t xml:space="preserve">0.5-1%</t>
  </si>
  <si>
    <t xml:space="preserve">Analysis: does the data prove the problem?</t>
  </si>
  <si>
    <t xml:space="preserve">Everything here is formula-driven from the Responses sheet. Blue cells are thresholds you can change before you look at the data.</t>
  </si>
  <si>
    <t xml:space="preserve">Sample</t>
  </si>
  <si>
    <t xml:space="preserve">Measure</t>
  </si>
  <si>
    <t xml:space="preserve">Value</t>
  </si>
  <si>
    <t xml:space="preserve">Note</t>
  </si>
  <si>
    <t xml:space="preserve">Total responses counted</t>
  </si>
  <si>
    <t xml:space="preserve">In the UAE</t>
  </si>
  <si>
    <t xml:space="preserve">Minimum answers needed before a verdict</t>
  </si>
  <si>
    <t xml:space="preserve">Planning assumption: 100 gives about +/-10% at 95% confidence.</t>
  </si>
  <si>
    <t xml:space="preserve">Margin of error at 95% confidence (all responses)</t>
  </si>
  <si>
    <t xml:space="preserve">Worst case (50% result). Formula: 1.96 x square root of 0.25 / n.</t>
  </si>
  <si>
    <t xml:space="preserve">Hypotheses and proof</t>
  </si>
  <si>
    <t xml:space="preserve">ID</t>
  </si>
  <si>
    <t xml:space="preserve">Pass if at least</t>
  </si>
  <si>
    <t xml:space="preserve">All</t>
  </si>
  <si>
    <t xml:space="preserve">Answered (n)</t>
  </si>
  <si>
    <t xml:space="preserve">Verdict</t>
  </si>
  <si>
    <t xml:space="preserve">Statement for the deck</t>
  </si>
  <si>
    <t xml:space="preserve">Finding reliable information is hard</t>
  </si>
  <si>
    <t xml:space="preserve">Rated 4-5 for "finding reliable information"</t>
  </si>
  <si>
    <t xml:space="preserve">People meet unavailable or misdescribed listings</t>
  </si>
  <si>
    <t xml:space="preserve">Said yes to B4 (once or more)</t>
  </si>
  <si>
    <t xml:space="preserve">Unexpected costs are common</t>
  </si>
  <si>
    <t xml:space="preserve">Said yes to B5</t>
  </si>
  <si>
    <t xml:space="preserve">Paperwork and registrations are hard</t>
  </si>
  <si>
    <t xml:space="preserve">Rated 4-5 for "paperwork and registrations"</t>
  </si>
  <si>
    <t xml:space="preserve">H4b</t>
  </si>
  <si>
    <t xml:space="preserve">Complexity makes people delay or give up</t>
  </si>
  <si>
    <t xml:space="preserve">Said yes to B10</t>
  </si>
  <si>
    <t xml:space="preserve">Missed or late deadlines happen</t>
  </si>
  <si>
    <t xml:space="preserve">Said yes to E3</t>
  </si>
  <si>
    <t xml:space="preserve">A single tracker is wanted</t>
  </si>
  <si>
    <t xml:space="preserve">Rated 4-5 for dashboard usefulness</t>
  </si>
  <si>
    <t xml:space="preserve">People will pay for independent insights</t>
  </si>
  <si>
    <t xml:space="preserve">Chose any paid option in C3</t>
  </si>
  <si>
    <t xml:space="preserve">3D view of the exact unit matters</t>
  </si>
  <si>
    <t xml:space="preserve">Rated 4-5 for 3D importance</t>
  </si>
  <si>
    <t xml:space="preserve">The one-stop idea is attractive</t>
  </si>
  <si>
    <t xml:space="preserve">Rated 4-5 for likelihood to use</t>
  </si>
  <si>
    <t xml:space="preserve">UAE residents would refer others</t>
  </si>
  <si>
    <t xml:space="preserve">Rated 4-5 for likelihood to refer (UAE residents)</t>
  </si>
  <si>
    <t xml:space="preserve">Furniture and design add-on has demand</t>
  </si>
  <si>
    <t xml:space="preserve">Definitely or probably buy furniture in the app</t>
  </si>
  <si>
    <t xml:space="preserve">Trust in portal data is low</t>
  </si>
  <si>
    <t xml:space="preserve">Rated 1-2 for trust in portals</t>
  </si>
  <si>
    <t xml:space="preserve">Price fairness is uncertain</t>
  </si>
  <si>
    <t xml:space="preserve">Rated 1-2 for confidence the price was fair</t>
  </si>
  <si>
    <t xml:space="preserve">Thresholds are suggestions set before looking at data. Agree them with your advisors first so the test is honest. A "Not supported" result is useful: change the pitch, not the threshold.</t>
  </si>
  <si>
    <t xml:space="preserve">Summary</t>
  </si>
  <si>
    <t xml:space="preserve">Where the journey hurts most</t>
  </si>
  <si>
    <t xml:space="preserve">Step</t>
  </si>
  <si>
    <t xml:space="preserve">Average difficulty (1-5)</t>
  </si>
  <si>
    <t xml:space="preserve">Rated 4-5 (%)</t>
  </si>
  <si>
    <t xml:space="preserve">Rank (1 = hardest)</t>
  </si>
  <si>
    <t xml:space="preserve">Finding reliable information on prices and areas</t>
  </si>
  <si>
    <t xml:space="preserve">Comparing options fairly</t>
  </si>
  <si>
    <t xml:space="preserve">Checking that a listing, developer or seller is genuine</t>
  </si>
  <si>
    <t xml:space="preserve">Understanding the total cost including fees</t>
  </si>
  <si>
    <t xml:space="preserve">Paperwork and government registrations</t>
  </si>
  <si>
    <t xml:space="preserve">Arranging finance or payment</t>
  </si>
  <si>
    <t xml:space="preserve">Tracking payments and deadlines</t>
  </si>
  <si>
    <t xml:space="preserve">Handover, snagging or move-in</t>
  </si>
  <si>
    <t xml:space="preserve">Furnishing or designing the home</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</si>
</sst>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0F4C5C"/>
      <name val="Arial"/>
      <family val="0"/>
      <charset val="1"/>
    </font>
    <font>
      <i val="true"/>
      <sz val="10"/>
      <color rgb="FF56656F"/>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i val="true"/>
      <sz val="9"/>
      <color rgb="FF56656F"/>
      <name val="Arial"/>
      <family val="0"/>
      <charset val="1"/>
    </font>
    <font>
      <sz val="10"/>
      <color rgb="FF0000FF"/>
      <name val="Arial"/>
      <family val="0"/>
      <charset val="1"/>
    </font>
    <font>
      <b val="true"/>
      <sz val="12"/>
      <color rgb="FF0F4C5C"/>
      <name val="Arial"/>
      <family val="0"/>
      <charset val="1"/>
    </font>
    <font>
      <i val="true"/>
      <sz val="10"/>
      <color rgb="FF7F7F7F"/>
      <name val="Arial"/>
      <family val="0"/>
      <charset val="1"/>
    </font>
  </fonts>
  <fills count="5">
    <fill>
      <patternFill patternType="none"/>
    </fill>
    <fill>
      <patternFill patternType="gray125"/>
    </fill>
    <fill>
      <patternFill patternType="solid">
        <fgColor rgb="FF0F4C5C"/>
        <bgColor rgb="FF333333"/>
      </patternFill>
    </fill>
    <fill>
      <patternFill patternType="solid">
        <fgColor rgb="FFEFEFEF"/>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C9D3D8"/>
      </left>
      <right style="thin">
        <color rgb="FFC9D3D8"/>
      </right>
      <top style="thin">
        <color rgb="FFC9D3D8"/>
      </top>
      <bottom style="thin">
        <color rgb="FFC9D3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5" fontId="6" fillId="0" borderId="0" xfId="0" applyFont="true" applyBorder="false" applyAlignment="true" applyProtection="false">
      <alignment horizontal="center"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top" textRotation="0" wrapText="true" indent="0" shrinkToFit="false"/>
      <protection locked="true" hidden="false"/>
    </xf>
    <xf numFmtId="166" fontId="0" fillId="0" borderId="0" xfId="0" applyFont="false" applyBorder="fals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7" fontId="10" fillId="4"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F4C5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FEFEF"/>
          <bgColor rgb="FF000000"/>
        </patternFill>
      </fill>
    </dxf>
    <dxf>
      <fill>
        <patternFill>
          <bgColor rgb="FFC6EFCE"/>
        </patternFill>
      </fill>
    </dxf>
    <dxf>
      <fill>
        <patternFill>
          <bgColor rgb="FFF8C9C4"/>
        </patternFill>
      </fill>
    </dxf>
    <dxf>
      <fill>
        <patternFill>
          <bgColor rgb="FFFFE9A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FEFEF"/>
      <rgbColor rgb="FFCCFFFF"/>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CCFFFF"/>
      <rgbColor rgb="FFC6EFCE"/>
      <rgbColor rgb="FFFFE9A8"/>
      <rgbColor rgb="FF99CCFF"/>
      <rgbColor rgb="FFFF99CC"/>
      <rgbColor rgb="FFCC99FF"/>
      <rgbColor rgb="FFF8C9C4"/>
      <rgbColor rgb="FF3366FF"/>
      <rgbColor rgb="FF33CCCC"/>
      <rgbColor rgb="FF99CC00"/>
      <rgbColor rgb="FFFFCC00"/>
      <rgbColor rgb="FFFF9900"/>
      <rgbColor rgb="FFFF6600"/>
      <rgbColor rgb="FF56656F"/>
      <rgbColor rgb="FF969696"/>
      <rgbColor rgb="FF0F4C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30"/>
  </cols>
  <sheetData>
    <row r="1" customFormat="false" ht="19.7"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23.85" hidden="false" customHeight="false" outlineLevel="0" collapsed="false">
      <c r="A11" s="3" t="s">
        <v>16</v>
      </c>
      <c r="B11" s="4" t="s">
        <v>17</v>
      </c>
    </row>
    <row r="12" customFormat="false" ht="15" hidden="false" customHeight="false" outlineLevel="0" collapsed="false">
      <c r="A12" s="3" t="s">
        <v>18</v>
      </c>
      <c r="B12" s="4" t="s">
        <v>19</v>
      </c>
    </row>
    <row r="13" customFormat="false" ht="23.85" hidden="false" customHeight="false" outlineLevel="0" collapsed="false">
      <c r="A13" s="3" t="s">
        <v>20</v>
      </c>
      <c r="B13" s="4" t="s">
        <v>21</v>
      </c>
    </row>
    <row r="14" customFormat="false" ht="15" hidden="false" customHeight="false" outlineLevel="0" collapsed="false">
      <c r="A14" s="3" t="s">
        <v>22</v>
      </c>
      <c r="B14"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84"/>
    <col collapsed="false" customWidth="true" hidden="false" outlineLevel="0" max="4" min="4" style="0" width="22"/>
    <col collapsed="false" customWidth="true" hidden="false" outlineLevel="0" max="5" min="5" style="0" width="66"/>
    <col collapsed="false" customWidth="true" hidden="false" outlineLevel="0" max="6" min="6" style="0" width="9"/>
    <col collapsed="false" customWidth="true" hidden="false" outlineLevel="0" max="7" min="7" style="0" width="26"/>
    <col collapsed="false" customWidth="true" hidden="false" outlineLevel="0" max="8" min="8" style="0" width="22"/>
    <col collapsed="false" customWidth="true" hidden="false" outlineLevel="0" max="9" min="9" style="0" width="8"/>
    <col collapsed="false" customWidth="true" hidden="false" outlineLevel="0" max="10" min="10" style="0" width="12"/>
  </cols>
  <sheetData>
    <row r="1" customFormat="false" ht="19.7" hidden="false" customHeight="false" outlineLevel="0" collapsed="false">
      <c r="A1" s="1" t="s">
        <v>24</v>
      </c>
    </row>
    <row r="2" customFormat="false" ht="15" hidden="false" customHeight="false" outlineLevel="0" collapsed="false">
      <c r="A2" s="2" t="s">
        <v>25</v>
      </c>
    </row>
    <row r="4" customFormat="false" ht="30" hidden="false" customHeight="true" outlineLevel="0" collapsed="false">
      <c r="A4" s="5" t="s">
        <v>26</v>
      </c>
      <c r="B4" s="5" t="s">
        <v>27</v>
      </c>
      <c r="C4" s="5" t="s">
        <v>28</v>
      </c>
      <c r="D4" s="5" t="s">
        <v>29</v>
      </c>
      <c r="E4" s="5" t="s">
        <v>30</v>
      </c>
      <c r="F4" s="5" t="s">
        <v>31</v>
      </c>
      <c r="G4" s="5" t="s">
        <v>32</v>
      </c>
      <c r="H4" s="5" t="s">
        <v>33</v>
      </c>
      <c r="I4" s="5" t="s">
        <v>34</v>
      </c>
      <c r="J4" s="5" t="s">
        <v>35</v>
      </c>
    </row>
    <row r="5" customFormat="false" ht="35.05" hidden="false" customHeight="false" outlineLevel="0" collapsed="false">
      <c r="A5" s="6" t="s">
        <v>36</v>
      </c>
      <c r="B5" s="4" t="s">
        <v>37</v>
      </c>
      <c r="C5" s="4" t="s">
        <v>38</v>
      </c>
      <c r="D5" s="4" t="s">
        <v>39</v>
      </c>
      <c r="E5" s="4" t="s">
        <v>40</v>
      </c>
      <c r="F5" s="6" t="s">
        <v>41</v>
      </c>
      <c r="G5" s="4" t="s">
        <v>42</v>
      </c>
      <c r="H5" s="4" t="s">
        <v>43</v>
      </c>
      <c r="I5" s="6" t="s">
        <v>44</v>
      </c>
      <c r="J5" s="6" t="s">
        <v>36</v>
      </c>
    </row>
    <row r="6" customFormat="false" ht="15" hidden="false" customHeight="false" outlineLevel="0" collapsed="false">
      <c r="A6" s="6" t="s">
        <v>45</v>
      </c>
      <c r="B6" s="4" t="s">
        <v>37</v>
      </c>
      <c r="C6" s="4" t="s">
        <v>46</v>
      </c>
      <c r="D6" s="4" t="s">
        <v>39</v>
      </c>
      <c r="E6" s="4" t="s">
        <v>47</v>
      </c>
      <c r="F6" s="6" t="s">
        <v>41</v>
      </c>
      <c r="G6" s="4" t="s">
        <v>48</v>
      </c>
      <c r="H6" s="4" t="s">
        <v>49</v>
      </c>
      <c r="I6" s="6" t="s">
        <v>44</v>
      </c>
      <c r="J6" s="6" t="s">
        <v>45</v>
      </c>
    </row>
    <row r="7" customFormat="false" ht="15" hidden="false" customHeight="false" outlineLevel="0" collapsed="false">
      <c r="A7" s="6" t="s">
        <v>50</v>
      </c>
      <c r="B7" s="4" t="s">
        <v>37</v>
      </c>
      <c r="C7" s="4" t="s">
        <v>51</v>
      </c>
      <c r="D7" s="4" t="s">
        <v>52</v>
      </c>
      <c r="E7" s="4"/>
      <c r="F7" s="6" t="s">
        <v>53</v>
      </c>
      <c r="G7" s="4" t="s">
        <v>54</v>
      </c>
      <c r="H7" s="4" t="s">
        <v>49</v>
      </c>
      <c r="I7" s="6" t="s">
        <v>44</v>
      </c>
      <c r="J7" s="6" t="s">
        <v>55</v>
      </c>
    </row>
    <row r="8" customFormat="false" ht="15" hidden="false" customHeight="false" outlineLevel="0" collapsed="false">
      <c r="A8" s="6" t="s">
        <v>56</v>
      </c>
      <c r="B8" s="4" t="s">
        <v>37</v>
      </c>
      <c r="C8" s="4" t="s">
        <v>57</v>
      </c>
      <c r="D8" s="4" t="s">
        <v>39</v>
      </c>
      <c r="E8" s="4" t="s">
        <v>58</v>
      </c>
      <c r="F8" s="6" t="s">
        <v>53</v>
      </c>
      <c r="G8" s="4" t="s">
        <v>42</v>
      </c>
      <c r="H8" s="4" t="s">
        <v>59</v>
      </c>
      <c r="I8" s="6" t="s">
        <v>44</v>
      </c>
      <c r="J8" s="6" t="s">
        <v>55</v>
      </c>
    </row>
    <row r="9" customFormat="false" ht="15" hidden="false" customHeight="false" outlineLevel="0" collapsed="false">
      <c r="A9" s="6" t="s">
        <v>60</v>
      </c>
      <c r="B9" s="4" t="s">
        <v>37</v>
      </c>
      <c r="C9" s="4" t="s">
        <v>61</v>
      </c>
      <c r="D9" s="4" t="s">
        <v>39</v>
      </c>
      <c r="E9" s="4" t="s">
        <v>62</v>
      </c>
      <c r="F9" s="6" t="s">
        <v>41</v>
      </c>
      <c r="G9" s="4" t="s">
        <v>63</v>
      </c>
      <c r="H9" s="4" t="s">
        <v>59</v>
      </c>
      <c r="I9" s="6" t="s">
        <v>44</v>
      </c>
      <c r="J9" s="6" t="s">
        <v>60</v>
      </c>
    </row>
    <row r="10" customFormat="false" ht="15" hidden="false" customHeight="false" outlineLevel="0" collapsed="false">
      <c r="A10" s="6" t="s">
        <v>64</v>
      </c>
      <c r="B10" s="4" t="s">
        <v>37</v>
      </c>
      <c r="C10" s="4" t="s">
        <v>65</v>
      </c>
      <c r="D10" s="4" t="s">
        <v>39</v>
      </c>
      <c r="E10" s="4" t="s">
        <v>66</v>
      </c>
      <c r="F10" s="6" t="s">
        <v>41</v>
      </c>
      <c r="G10" s="4" t="s">
        <v>67</v>
      </c>
      <c r="H10" s="4" t="s">
        <v>59</v>
      </c>
      <c r="I10" s="6" t="s">
        <v>44</v>
      </c>
      <c r="J10" s="6" t="s">
        <v>55</v>
      </c>
    </row>
    <row r="11" customFormat="false" ht="15" hidden="false" customHeight="false" outlineLevel="0" collapsed="false">
      <c r="A11" s="6" t="s">
        <v>68</v>
      </c>
      <c r="B11" s="4" t="s">
        <v>37</v>
      </c>
      <c r="C11" s="4" t="s">
        <v>69</v>
      </c>
      <c r="D11" s="4" t="s">
        <v>39</v>
      </c>
      <c r="E11" s="4" t="s">
        <v>70</v>
      </c>
      <c r="F11" s="6" t="s">
        <v>53</v>
      </c>
      <c r="G11" s="4" t="s">
        <v>63</v>
      </c>
      <c r="H11" s="4" t="s">
        <v>59</v>
      </c>
      <c r="I11" s="6" t="s">
        <v>44</v>
      </c>
      <c r="J11" s="6" t="s">
        <v>55</v>
      </c>
    </row>
    <row r="12" customFormat="false" ht="23.85" hidden="false" customHeight="false" outlineLevel="0" collapsed="false">
      <c r="A12" s="6" t="s">
        <v>71</v>
      </c>
      <c r="B12" s="4" t="s">
        <v>72</v>
      </c>
      <c r="C12" s="4" t="s">
        <v>73</v>
      </c>
      <c r="D12" s="4" t="s">
        <v>74</v>
      </c>
      <c r="E12" s="4" t="s">
        <v>75</v>
      </c>
      <c r="F12" s="6" t="s">
        <v>53</v>
      </c>
      <c r="G12" s="4" t="s">
        <v>76</v>
      </c>
      <c r="H12" s="4" t="s">
        <v>77</v>
      </c>
      <c r="I12" s="6" t="s">
        <v>78</v>
      </c>
      <c r="J12" s="6" t="s">
        <v>55</v>
      </c>
    </row>
    <row r="13" customFormat="false" ht="15" hidden="false" customHeight="false" outlineLevel="0" collapsed="false">
      <c r="A13" s="6" t="s">
        <v>79</v>
      </c>
      <c r="B13" s="4" t="s">
        <v>72</v>
      </c>
      <c r="C13" s="4" t="s">
        <v>80</v>
      </c>
      <c r="D13" s="4" t="s">
        <v>39</v>
      </c>
      <c r="E13" s="4" t="s">
        <v>81</v>
      </c>
      <c r="F13" s="6" t="s">
        <v>53</v>
      </c>
      <c r="G13" s="4" t="s">
        <v>76</v>
      </c>
      <c r="H13" s="4" t="s">
        <v>77</v>
      </c>
      <c r="I13" s="6" t="s">
        <v>78</v>
      </c>
      <c r="J13" s="6" t="s">
        <v>55</v>
      </c>
    </row>
    <row r="14" customFormat="false" ht="15" hidden="false" customHeight="false" outlineLevel="0" collapsed="false">
      <c r="A14" s="6" t="s">
        <v>82</v>
      </c>
      <c r="B14" s="4" t="s">
        <v>72</v>
      </c>
      <c r="C14" s="4" t="s">
        <v>83</v>
      </c>
      <c r="D14" s="4" t="s">
        <v>84</v>
      </c>
      <c r="E14" s="4" t="s">
        <v>85</v>
      </c>
      <c r="F14" s="6" t="s">
        <v>53</v>
      </c>
      <c r="G14" s="4" t="s">
        <v>76</v>
      </c>
      <c r="H14" s="4" t="s">
        <v>86</v>
      </c>
      <c r="I14" s="6" t="s">
        <v>78</v>
      </c>
      <c r="J14" s="6" t="s">
        <v>82</v>
      </c>
    </row>
    <row r="15" customFormat="false" ht="15" hidden="false" customHeight="false" outlineLevel="0" collapsed="false">
      <c r="A15" s="6" t="s">
        <v>87</v>
      </c>
      <c r="B15" s="4" t="s">
        <v>72</v>
      </c>
      <c r="C15" s="4" t="s">
        <v>88</v>
      </c>
      <c r="D15" s="4" t="s">
        <v>84</v>
      </c>
      <c r="E15" s="4" t="s">
        <v>85</v>
      </c>
      <c r="F15" s="6" t="s">
        <v>53</v>
      </c>
      <c r="G15" s="4" t="s">
        <v>76</v>
      </c>
      <c r="H15" s="4" t="s">
        <v>86</v>
      </c>
      <c r="I15" s="6" t="s">
        <v>78</v>
      </c>
      <c r="J15" s="6" t="s">
        <v>87</v>
      </c>
    </row>
    <row r="16" customFormat="false" ht="15" hidden="false" customHeight="false" outlineLevel="0" collapsed="false">
      <c r="A16" s="6" t="s">
        <v>89</v>
      </c>
      <c r="B16" s="4" t="s">
        <v>72</v>
      </c>
      <c r="C16" s="4" t="s">
        <v>90</v>
      </c>
      <c r="D16" s="4" t="s">
        <v>84</v>
      </c>
      <c r="E16" s="4" t="s">
        <v>85</v>
      </c>
      <c r="F16" s="6" t="s">
        <v>53</v>
      </c>
      <c r="G16" s="4" t="s">
        <v>76</v>
      </c>
      <c r="H16" s="4" t="s">
        <v>86</v>
      </c>
      <c r="I16" s="6" t="s">
        <v>78</v>
      </c>
      <c r="J16" s="6" t="s">
        <v>89</v>
      </c>
    </row>
    <row r="17" customFormat="false" ht="15" hidden="false" customHeight="false" outlineLevel="0" collapsed="false">
      <c r="A17" s="6" t="s">
        <v>91</v>
      </c>
      <c r="B17" s="4" t="s">
        <v>72</v>
      </c>
      <c r="C17" s="4" t="s">
        <v>92</v>
      </c>
      <c r="D17" s="4" t="s">
        <v>84</v>
      </c>
      <c r="E17" s="4" t="s">
        <v>85</v>
      </c>
      <c r="F17" s="6" t="s">
        <v>53</v>
      </c>
      <c r="G17" s="4" t="s">
        <v>76</v>
      </c>
      <c r="H17" s="4" t="s">
        <v>86</v>
      </c>
      <c r="I17" s="6" t="s">
        <v>78</v>
      </c>
      <c r="J17" s="6" t="s">
        <v>91</v>
      </c>
    </row>
    <row r="18" customFormat="false" ht="15" hidden="false" customHeight="false" outlineLevel="0" collapsed="false">
      <c r="A18" s="6" t="s">
        <v>93</v>
      </c>
      <c r="B18" s="4" t="s">
        <v>72</v>
      </c>
      <c r="C18" s="4" t="s">
        <v>94</v>
      </c>
      <c r="D18" s="4" t="s">
        <v>84</v>
      </c>
      <c r="E18" s="4" t="s">
        <v>85</v>
      </c>
      <c r="F18" s="6" t="s">
        <v>53</v>
      </c>
      <c r="G18" s="4" t="s">
        <v>76</v>
      </c>
      <c r="H18" s="4" t="s">
        <v>86</v>
      </c>
      <c r="I18" s="6" t="s">
        <v>78</v>
      </c>
      <c r="J18" s="6" t="s">
        <v>93</v>
      </c>
    </row>
    <row r="19" customFormat="false" ht="15" hidden="false" customHeight="false" outlineLevel="0" collapsed="false">
      <c r="A19" s="6" t="s">
        <v>95</v>
      </c>
      <c r="B19" s="4" t="s">
        <v>72</v>
      </c>
      <c r="C19" s="4" t="s">
        <v>96</v>
      </c>
      <c r="D19" s="4" t="s">
        <v>84</v>
      </c>
      <c r="E19" s="4" t="s">
        <v>85</v>
      </c>
      <c r="F19" s="6" t="s">
        <v>53</v>
      </c>
      <c r="G19" s="4" t="s">
        <v>76</v>
      </c>
      <c r="H19" s="4" t="s">
        <v>86</v>
      </c>
      <c r="I19" s="6" t="s">
        <v>78</v>
      </c>
      <c r="J19" s="6" t="s">
        <v>95</v>
      </c>
    </row>
    <row r="20" customFormat="false" ht="15" hidden="false" customHeight="false" outlineLevel="0" collapsed="false">
      <c r="A20" s="6" t="s">
        <v>97</v>
      </c>
      <c r="B20" s="4" t="s">
        <v>72</v>
      </c>
      <c r="C20" s="4" t="s">
        <v>98</v>
      </c>
      <c r="D20" s="4" t="s">
        <v>84</v>
      </c>
      <c r="E20" s="4" t="s">
        <v>85</v>
      </c>
      <c r="F20" s="6" t="s">
        <v>53</v>
      </c>
      <c r="G20" s="4" t="s">
        <v>76</v>
      </c>
      <c r="H20" s="4" t="s">
        <v>86</v>
      </c>
      <c r="I20" s="6" t="s">
        <v>78</v>
      </c>
      <c r="J20" s="6" t="s">
        <v>97</v>
      </c>
    </row>
    <row r="21" customFormat="false" ht="15" hidden="false" customHeight="false" outlineLevel="0" collapsed="false">
      <c r="A21" s="6" t="s">
        <v>99</v>
      </c>
      <c r="B21" s="4" t="s">
        <v>72</v>
      </c>
      <c r="C21" s="4" t="s">
        <v>100</v>
      </c>
      <c r="D21" s="4" t="s">
        <v>84</v>
      </c>
      <c r="E21" s="4" t="s">
        <v>85</v>
      </c>
      <c r="F21" s="6" t="s">
        <v>53</v>
      </c>
      <c r="G21" s="4" t="s">
        <v>76</v>
      </c>
      <c r="H21" s="4" t="s">
        <v>86</v>
      </c>
      <c r="I21" s="6" t="s">
        <v>78</v>
      </c>
      <c r="J21" s="6" t="s">
        <v>99</v>
      </c>
    </row>
    <row r="22" customFormat="false" ht="15" hidden="false" customHeight="false" outlineLevel="0" collapsed="false">
      <c r="A22" s="6" t="s">
        <v>101</v>
      </c>
      <c r="B22" s="4" t="s">
        <v>72</v>
      </c>
      <c r="C22" s="4" t="s">
        <v>102</v>
      </c>
      <c r="D22" s="4" t="s">
        <v>84</v>
      </c>
      <c r="E22" s="4" t="s">
        <v>85</v>
      </c>
      <c r="F22" s="6" t="s">
        <v>53</v>
      </c>
      <c r="G22" s="4" t="s">
        <v>76</v>
      </c>
      <c r="H22" s="4" t="s">
        <v>86</v>
      </c>
      <c r="I22" s="6" t="s">
        <v>78</v>
      </c>
      <c r="J22" s="6" t="s">
        <v>101</v>
      </c>
    </row>
    <row r="23" customFormat="false" ht="15" hidden="false" customHeight="false" outlineLevel="0" collapsed="false">
      <c r="A23" s="6" t="s">
        <v>103</v>
      </c>
      <c r="B23" s="4" t="s">
        <v>72</v>
      </c>
      <c r="C23" s="4" t="s">
        <v>104</v>
      </c>
      <c r="D23" s="4" t="s">
        <v>39</v>
      </c>
      <c r="E23" s="4" t="s">
        <v>105</v>
      </c>
      <c r="F23" s="6" t="s">
        <v>41</v>
      </c>
      <c r="G23" s="4" t="s">
        <v>76</v>
      </c>
      <c r="H23" s="4" t="s">
        <v>106</v>
      </c>
      <c r="I23" s="6" t="s">
        <v>78</v>
      </c>
      <c r="J23" s="6" t="s">
        <v>103</v>
      </c>
    </row>
    <row r="24" customFormat="false" ht="15" hidden="false" customHeight="false" outlineLevel="0" collapsed="false">
      <c r="A24" s="6" t="s">
        <v>107</v>
      </c>
      <c r="B24" s="4" t="s">
        <v>72</v>
      </c>
      <c r="C24" s="4" t="s">
        <v>108</v>
      </c>
      <c r="D24" s="4" t="s">
        <v>39</v>
      </c>
      <c r="E24" s="4" t="s">
        <v>109</v>
      </c>
      <c r="F24" s="6" t="s">
        <v>41</v>
      </c>
      <c r="G24" s="4" t="s">
        <v>76</v>
      </c>
      <c r="H24" s="4" t="s">
        <v>110</v>
      </c>
      <c r="I24" s="6" t="s">
        <v>78</v>
      </c>
      <c r="J24" s="6" t="s">
        <v>107</v>
      </c>
    </row>
    <row r="25" customFormat="false" ht="15" hidden="false" customHeight="false" outlineLevel="0" collapsed="false">
      <c r="A25" s="6" t="s">
        <v>111</v>
      </c>
      <c r="B25" s="4" t="s">
        <v>72</v>
      </c>
      <c r="C25" s="4" t="s">
        <v>112</v>
      </c>
      <c r="D25" s="4" t="s">
        <v>113</v>
      </c>
      <c r="E25" s="4"/>
      <c r="F25" s="6" t="s">
        <v>53</v>
      </c>
      <c r="G25" s="4" t="s">
        <v>114</v>
      </c>
      <c r="H25" s="4" t="s">
        <v>77</v>
      </c>
      <c r="I25" s="6" t="s">
        <v>78</v>
      </c>
      <c r="J25" s="6" t="s">
        <v>111</v>
      </c>
    </row>
    <row r="26" customFormat="false" ht="15" hidden="false" customHeight="false" outlineLevel="0" collapsed="false">
      <c r="A26" s="6" t="s">
        <v>115</v>
      </c>
      <c r="B26" s="4" t="s">
        <v>72</v>
      </c>
      <c r="C26" s="4" t="s">
        <v>116</v>
      </c>
      <c r="D26" s="4" t="s">
        <v>117</v>
      </c>
      <c r="E26" s="4" t="s">
        <v>118</v>
      </c>
      <c r="F26" s="6" t="s">
        <v>53</v>
      </c>
      <c r="G26" s="4" t="s">
        <v>76</v>
      </c>
      <c r="H26" s="4" t="s">
        <v>119</v>
      </c>
      <c r="I26" s="6" t="s">
        <v>78</v>
      </c>
      <c r="J26" s="6" t="s">
        <v>115</v>
      </c>
    </row>
    <row r="27" customFormat="false" ht="15" hidden="false" customHeight="false" outlineLevel="0" collapsed="false">
      <c r="A27" s="6" t="s">
        <v>120</v>
      </c>
      <c r="B27" s="4" t="s">
        <v>72</v>
      </c>
      <c r="C27" s="4" t="s">
        <v>121</v>
      </c>
      <c r="D27" s="4" t="s">
        <v>39</v>
      </c>
      <c r="E27" s="4" t="s">
        <v>122</v>
      </c>
      <c r="F27" s="6" t="s">
        <v>53</v>
      </c>
      <c r="G27" s="4" t="s">
        <v>76</v>
      </c>
      <c r="H27" s="4" t="s">
        <v>77</v>
      </c>
      <c r="I27" s="6" t="s">
        <v>78</v>
      </c>
      <c r="J27" s="6" t="s">
        <v>55</v>
      </c>
    </row>
    <row r="28" customFormat="false" ht="15" hidden="false" customHeight="false" outlineLevel="0" collapsed="false">
      <c r="A28" s="6" t="s">
        <v>123</v>
      </c>
      <c r="B28" s="4" t="s">
        <v>72</v>
      </c>
      <c r="C28" s="4" t="s">
        <v>124</v>
      </c>
      <c r="D28" s="4" t="s">
        <v>117</v>
      </c>
      <c r="E28" s="4" t="s">
        <v>118</v>
      </c>
      <c r="F28" s="6" t="s">
        <v>53</v>
      </c>
      <c r="G28" s="4" t="s">
        <v>125</v>
      </c>
      <c r="H28" s="4" t="s">
        <v>77</v>
      </c>
      <c r="I28" s="6" t="s">
        <v>78</v>
      </c>
      <c r="J28" s="6" t="s">
        <v>123</v>
      </c>
    </row>
    <row r="29" customFormat="false" ht="15" hidden="false" customHeight="false" outlineLevel="0" collapsed="false">
      <c r="A29" s="6" t="s">
        <v>126</v>
      </c>
      <c r="B29" s="4" t="s">
        <v>72</v>
      </c>
      <c r="C29" s="4" t="s">
        <v>127</v>
      </c>
      <c r="D29" s="4" t="s">
        <v>39</v>
      </c>
      <c r="E29" s="4" t="s">
        <v>109</v>
      </c>
      <c r="F29" s="6" t="s">
        <v>53</v>
      </c>
      <c r="G29" s="4" t="s">
        <v>76</v>
      </c>
      <c r="H29" s="4" t="s">
        <v>128</v>
      </c>
      <c r="I29" s="6" t="s">
        <v>78</v>
      </c>
      <c r="J29" s="6" t="s">
        <v>126</v>
      </c>
    </row>
    <row r="30" customFormat="false" ht="15" hidden="false" customHeight="false" outlineLevel="0" collapsed="false">
      <c r="A30" s="6" t="s">
        <v>129</v>
      </c>
      <c r="B30" s="4" t="s">
        <v>72</v>
      </c>
      <c r="C30" s="4" t="s">
        <v>130</v>
      </c>
      <c r="D30" s="7" t="s">
        <v>131</v>
      </c>
      <c r="E30" s="4"/>
      <c r="F30" s="6" t="s">
        <v>53</v>
      </c>
      <c r="G30" s="4" t="s">
        <v>76</v>
      </c>
      <c r="H30" s="4" t="s">
        <v>132</v>
      </c>
      <c r="I30" s="6" t="s">
        <v>78</v>
      </c>
      <c r="J30" s="6" t="s">
        <v>55</v>
      </c>
    </row>
    <row r="31" customFormat="false" ht="15" hidden="false" customHeight="false" outlineLevel="0" collapsed="false">
      <c r="A31" s="6" t="s">
        <v>133</v>
      </c>
      <c r="B31" s="4" t="s">
        <v>72</v>
      </c>
      <c r="C31" s="4" t="s">
        <v>134</v>
      </c>
      <c r="D31" s="7" t="s">
        <v>131</v>
      </c>
      <c r="E31" s="4"/>
      <c r="F31" s="6" t="s">
        <v>53</v>
      </c>
      <c r="G31" s="4" t="s">
        <v>76</v>
      </c>
      <c r="H31" s="4" t="s">
        <v>132</v>
      </c>
      <c r="I31" s="6" t="s">
        <v>78</v>
      </c>
      <c r="J31" s="6" t="s">
        <v>55</v>
      </c>
    </row>
    <row r="32" customFormat="false" ht="23.85" hidden="false" customHeight="false" outlineLevel="0" collapsed="false">
      <c r="A32" s="6" t="s">
        <v>135</v>
      </c>
      <c r="B32" s="4" t="s">
        <v>136</v>
      </c>
      <c r="C32" s="4" t="s">
        <v>137</v>
      </c>
      <c r="D32" s="4" t="s">
        <v>138</v>
      </c>
      <c r="E32" s="4" t="s">
        <v>139</v>
      </c>
      <c r="F32" s="6" t="s">
        <v>53</v>
      </c>
      <c r="G32" s="4" t="s">
        <v>76</v>
      </c>
      <c r="H32" s="4" t="s">
        <v>140</v>
      </c>
      <c r="I32" s="6" t="s">
        <v>141</v>
      </c>
      <c r="J32" s="6" t="s">
        <v>55</v>
      </c>
    </row>
    <row r="33" customFormat="false" ht="15" hidden="false" customHeight="false" outlineLevel="0" collapsed="false">
      <c r="A33" s="6" t="s">
        <v>142</v>
      </c>
      <c r="B33" s="4" t="s">
        <v>136</v>
      </c>
      <c r="C33" s="4" t="s">
        <v>143</v>
      </c>
      <c r="D33" s="4" t="s">
        <v>117</v>
      </c>
      <c r="E33" s="4" t="s">
        <v>118</v>
      </c>
      <c r="F33" s="6" t="s">
        <v>53</v>
      </c>
      <c r="G33" s="4" t="s">
        <v>76</v>
      </c>
      <c r="H33" s="4" t="s">
        <v>144</v>
      </c>
      <c r="I33" s="6" t="s">
        <v>78</v>
      </c>
      <c r="J33" s="6" t="s">
        <v>142</v>
      </c>
    </row>
    <row r="34" customFormat="false" ht="23.85" hidden="false" customHeight="false" outlineLevel="0" collapsed="false">
      <c r="A34" s="6" t="s">
        <v>145</v>
      </c>
      <c r="B34" s="4" t="s">
        <v>136</v>
      </c>
      <c r="C34" s="4" t="s">
        <v>146</v>
      </c>
      <c r="D34" s="4" t="s">
        <v>39</v>
      </c>
      <c r="E34" s="4" t="s">
        <v>147</v>
      </c>
      <c r="F34" s="6" t="s">
        <v>41</v>
      </c>
      <c r="G34" s="4" t="s">
        <v>76</v>
      </c>
      <c r="H34" s="4" t="s">
        <v>148</v>
      </c>
      <c r="I34" s="6" t="s">
        <v>149</v>
      </c>
      <c r="J34" s="6" t="s">
        <v>145</v>
      </c>
    </row>
    <row r="35" customFormat="false" ht="15" hidden="false" customHeight="false" outlineLevel="0" collapsed="false">
      <c r="A35" s="6" t="s">
        <v>150</v>
      </c>
      <c r="B35" s="4" t="s">
        <v>136</v>
      </c>
      <c r="C35" s="4" t="s">
        <v>151</v>
      </c>
      <c r="D35" s="7" t="s">
        <v>131</v>
      </c>
      <c r="E35" s="4"/>
      <c r="F35" s="6" t="s">
        <v>53</v>
      </c>
      <c r="G35" s="4" t="s">
        <v>76</v>
      </c>
      <c r="H35" s="4" t="s">
        <v>132</v>
      </c>
      <c r="I35" s="6" t="s">
        <v>78</v>
      </c>
      <c r="J35" s="6" t="s">
        <v>55</v>
      </c>
    </row>
    <row r="36" customFormat="false" ht="15" hidden="false" customHeight="false" outlineLevel="0" collapsed="false">
      <c r="A36" s="6" t="s">
        <v>152</v>
      </c>
      <c r="B36" s="4" t="s">
        <v>153</v>
      </c>
      <c r="C36" s="4" t="s">
        <v>154</v>
      </c>
      <c r="D36" s="4" t="s">
        <v>117</v>
      </c>
      <c r="E36" s="4" t="s">
        <v>118</v>
      </c>
      <c r="F36" s="6" t="s">
        <v>41</v>
      </c>
      <c r="G36" s="4" t="s">
        <v>76</v>
      </c>
      <c r="H36" s="4" t="s">
        <v>155</v>
      </c>
      <c r="I36" s="6" t="s">
        <v>141</v>
      </c>
      <c r="J36" s="6" t="s">
        <v>152</v>
      </c>
    </row>
    <row r="37" customFormat="false" ht="15" hidden="false" customHeight="false" outlineLevel="0" collapsed="false">
      <c r="A37" s="6" t="s">
        <v>156</v>
      </c>
      <c r="B37" s="4" t="s">
        <v>153</v>
      </c>
      <c r="C37" s="4" t="s">
        <v>157</v>
      </c>
      <c r="D37" s="4" t="s">
        <v>39</v>
      </c>
      <c r="E37" s="4" t="s">
        <v>158</v>
      </c>
      <c r="F37" s="6" t="s">
        <v>41</v>
      </c>
      <c r="G37" s="4" t="s">
        <v>76</v>
      </c>
      <c r="H37" s="4" t="s">
        <v>155</v>
      </c>
      <c r="I37" s="6" t="s">
        <v>141</v>
      </c>
      <c r="J37" s="6" t="s">
        <v>156</v>
      </c>
    </row>
    <row r="38" customFormat="false" ht="15" hidden="false" customHeight="false" outlineLevel="0" collapsed="false">
      <c r="A38" s="6" t="s">
        <v>159</v>
      </c>
      <c r="B38" s="4" t="s">
        <v>153</v>
      </c>
      <c r="C38" s="4" t="s">
        <v>160</v>
      </c>
      <c r="D38" s="4" t="s">
        <v>117</v>
      </c>
      <c r="E38" s="4" t="s">
        <v>118</v>
      </c>
      <c r="F38" s="6" t="s">
        <v>53</v>
      </c>
      <c r="G38" s="4" t="s">
        <v>76</v>
      </c>
      <c r="H38" s="4" t="s">
        <v>161</v>
      </c>
      <c r="I38" s="6" t="s">
        <v>149</v>
      </c>
      <c r="J38" s="6" t="s">
        <v>159</v>
      </c>
    </row>
    <row r="39" customFormat="false" ht="15" hidden="false" customHeight="false" outlineLevel="0" collapsed="false">
      <c r="A39" s="6" t="s">
        <v>162</v>
      </c>
      <c r="B39" s="4" t="s">
        <v>153</v>
      </c>
      <c r="C39" s="4" t="s">
        <v>163</v>
      </c>
      <c r="D39" s="4" t="s">
        <v>39</v>
      </c>
      <c r="E39" s="4" t="s">
        <v>164</v>
      </c>
      <c r="F39" s="6" t="s">
        <v>41</v>
      </c>
      <c r="G39" s="4" t="s">
        <v>76</v>
      </c>
      <c r="H39" s="4" t="s">
        <v>161</v>
      </c>
      <c r="I39" s="6" t="s">
        <v>149</v>
      </c>
      <c r="J39" s="6" t="s">
        <v>162</v>
      </c>
    </row>
    <row r="40" customFormat="false" ht="15" hidden="false" customHeight="false" outlineLevel="0" collapsed="false">
      <c r="A40" s="6" t="s">
        <v>165</v>
      </c>
      <c r="B40" s="4" t="s">
        <v>153</v>
      </c>
      <c r="C40" s="4" t="s">
        <v>166</v>
      </c>
      <c r="D40" s="4" t="s">
        <v>39</v>
      </c>
      <c r="E40" s="4" t="s">
        <v>164</v>
      </c>
      <c r="F40" s="6" t="s">
        <v>53</v>
      </c>
      <c r="G40" s="4" t="s">
        <v>76</v>
      </c>
      <c r="H40" s="4" t="s">
        <v>161</v>
      </c>
      <c r="I40" s="6" t="s">
        <v>149</v>
      </c>
      <c r="J40" s="6" t="s">
        <v>165</v>
      </c>
    </row>
    <row r="41" customFormat="false" ht="15" hidden="false" customHeight="false" outlineLevel="0" collapsed="false">
      <c r="A41" s="6" t="s">
        <v>167</v>
      </c>
      <c r="B41" s="4" t="s">
        <v>153</v>
      </c>
      <c r="C41" s="4" t="s">
        <v>168</v>
      </c>
      <c r="D41" s="4" t="s">
        <v>39</v>
      </c>
      <c r="E41" s="4" t="s">
        <v>169</v>
      </c>
      <c r="F41" s="6" t="s">
        <v>53</v>
      </c>
      <c r="G41" s="4" t="s">
        <v>76</v>
      </c>
      <c r="H41" s="4" t="s">
        <v>170</v>
      </c>
      <c r="I41" s="6" t="s">
        <v>171</v>
      </c>
      <c r="J41" s="6" t="s">
        <v>55</v>
      </c>
    </row>
    <row r="42" customFormat="false" ht="15" hidden="false" customHeight="false" outlineLevel="0" collapsed="false">
      <c r="A42" s="6" t="s">
        <v>172</v>
      </c>
      <c r="B42" s="4" t="s">
        <v>153</v>
      </c>
      <c r="C42" s="4" t="s">
        <v>173</v>
      </c>
      <c r="D42" s="7" t="s">
        <v>131</v>
      </c>
      <c r="E42" s="4"/>
      <c r="F42" s="6" t="s">
        <v>53</v>
      </c>
      <c r="G42" s="4" t="s">
        <v>76</v>
      </c>
      <c r="H42" s="4" t="s">
        <v>132</v>
      </c>
      <c r="I42" s="6" t="s">
        <v>78</v>
      </c>
      <c r="J42" s="6" t="s">
        <v>55</v>
      </c>
    </row>
    <row r="43" customFormat="false" ht="23.85" hidden="false" customHeight="false" outlineLevel="0" collapsed="false">
      <c r="A43" s="6" t="s">
        <v>174</v>
      </c>
      <c r="B43" s="4" t="s">
        <v>175</v>
      </c>
      <c r="C43" s="4" t="s">
        <v>176</v>
      </c>
      <c r="D43" s="4" t="s">
        <v>74</v>
      </c>
      <c r="E43" s="4" t="s">
        <v>177</v>
      </c>
      <c r="F43" s="6" t="s">
        <v>53</v>
      </c>
      <c r="G43" s="4" t="s">
        <v>76</v>
      </c>
      <c r="H43" s="4" t="s">
        <v>128</v>
      </c>
      <c r="I43" s="6" t="s">
        <v>78</v>
      </c>
      <c r="J43" s="6" t="s">
        <v>55</v>
      </c>
    </row>
    <row r="44" customFormat="false" ht="23.85" hidden="false" customHeight="false" outlineLevel="0" collapsed="false">
      <c r="A44" s="6" t="s">
        <v>178</v>
      </c>
      <c r="B44" s="4" t="s">
        <v>175</v>
      </c>
      <c r="C44" s="4" t="s">
        <v>179</v>
      </c>
      <c r="D44" s="4" t="s">
        <v>74</v>
      </c>
      <c r="E44" s="4" t="s">
        <v>180</v>
      </c>
      <c r="F44" s="6" t="s">
        <v>53</v>
      </c>
      <c r="G44" s="4" t="s">
        <v>76</v>
      </c>
      <c r="H44" s="4" t="s">
        <v>181</v>
      </c>
      <c r="I44" s="6" t="s">
        <v>78</v>
      </c>
      <c r="J44" s="6" t="s">
        <v>55</v>
      </c>
    </row>
    <row r="45" customFormat="false" ht="23.85" hidden="false" customHeight="false" outlineLevel="0" collapsed="false">
      <c r="A45" s="6" t="s">
        <v>182</v>
      </c>
      <c r="B45" s="4" t="s">
        <v>175</v>
      </c>
      <c r="C45" s="4" t="s">
        <v>183</v>
      </c>
      <c r="D45" s="4" t="s">
        <v>39</v>
      </c>
      <c r="E45" s="4" t="s">
        <v>109</v>
      </c>
      <c r="F45" s="6" t="s">
        <v>41</v>
      </c>
      <c r="G45" s="4" t="s">
        <v>76</v>
      </c>
      <c r="H45" s="4" t="s">
        <v>184</v>
      </c>
      <c r="I45" s="6" t="s">
        <v>78</v>
      </c>
      <c r="J45" s="6" t="s">
        <v>182</v>
      </c>
    </row>
    <row r="46" customFormat="false" ht="23.85" hidden="false" customHeight="false" outlineLevel="0" collapsed="false">
      <c r="A46" s="6" t="s">
        <v>185</v>
      </c>
      <c r="B46" s="4" t="s">
        <v>175</v>
      </c>
      <c r="C46" s="4" t="s">
        <v>186</v>
      </c>
      <c r="D46" s="4" t="s">
        <v>117</v>
      </c>
      <c r="E46" s="4" t="s">
        <v>118</v>
      </c>
      <c r="F46" s="6" t="s">
        <v>41</v>
      </c>
      <c r="G46" s="4" t="s">
        <v>76</v>
      </c>
      <c r="H46" s="4" t="s">
        <v>187</v>
      </c>
      <c r="I46" s="6" t="s">
        <v>141</v>
      </c>
      <c r="J46" s="6" t="s">
        <v>185</v>
      </c>
    </row>
    <row r="47" customFormat="false" ht="23.85" hidden="false" customHeight="false" outlineLevel="0" collapsed="false">
      <c r="A47" s="6" t="s">
        <v>188</v>
      </c>
      <c r="B47" s="4" t="s">
        <v>175</v>
      </c>
      <c r="C47" s="4" t="s">
        <v>189</v>
      </c>
      <c r="D47" s="4" t="s">
        <v>117</v>
      </c>
      <c r="E47" s="4" t="s">
        <v>118</v>
      </c>
      <c r="F47" s="6" t="s">
        <v>53</v>
      </c>
      <c r="G47" s="4" t="s">
        <v>76</v>
      </c>
      <c r="H47" s="4" t="s">
        <v>190</v>
      </c>
      <c r="I47" s="6" t="s">
        <v>191</v>
      </c>
      <c r="J47" s="6" t="s">
        <v>188</v>
      </c>
    </row>
    <row r="48" customFormat="false" ht="35.05" hidden="false" customHeight="false" outlineLevel="0" collapsed="false">
      <c r="A48" s="6" t="s">
        <v>192</v>
      </c>
      <c r="B48" s="4" t="s">
        <v>193</v>
      </c>
      <c r="C48" s="4" t="s">
        <v>194</v>
      </c>
      <c r="D48" s="4" t="s">
        <v>117</v>
      </c>
      <c r="E48" s="4" t="s">
        <v>118</v>
      </c>
      <c r="F48" s="6" t="s">
        <v>41</v>
      </c>
      <c r="G48" s="4" t="s">
        <v>76</v>
      </c>
      <c r="H48" s="4" t="s">
        <v>195</v>
      </c>
      <c r="I48" s="6" t="s">
        <v>196</v>
      </c>
      <c r="J48" s="6" t="s">
        <v>192</v>
      </c>
    </row>
    <row r="49" customFormat="false" ht="23.85" hidden="false" customHeight="false" outlineLevel="0" collapsed="false">
      <c r="A49" s="6" t="s">
        <v>197</v>
      </c>
      <c r="B49" s="4" t="s">
        <v>193</v>
      </c>
      <c r="C49" s="4" t="s">
        <v>198</v>
      </c>
      <c r="D49" s="4" t="s">
        <v>74</v>
      </c>
      <c r="E49" s="4" t="s">
        <v>199</v>
      </c>
      <c r="F49" s="6" t="s">
        <v>53</v>
      </c>
      <c r="G49" s="4" t="s">
        <v>42</v>
      </c>
      <c r="H49" s="4" t="s">
        <v>200</v>
      </c>
      <c r="I49" s="6" t="s">
        <v>201</v>
      </c>
      <c r="J49" s="6" t="s">
        <v>55</v>
      </c>
    </row>
    <row r="50" customFormat="false" ht="15" hidden="false" customHeight="false" outlineLevel="0" collapsed="false">
      <c r="A50" s="6" t="s">
        <v>202</v>
      </c>
      <c r="B50" s="4" t="s">
        <v>193</v>
      </c>
      <c r="C50" s="4" t="s">
        <v>203</v>
      </c>
      <c r="D50" s="4" t="s">
        <v>39</v>
      </c>
      <c r="E50" s="4" t="s">
        <v>204</v>
      </c>
      <c r="F50" s="6" t="s">
        <v>53</v>
      </c>
      <c r="G50" s="4" t="s">
        <v>63</v>
      </c>
      <c r="H50" s="4" t="s">
        <v>205</v>
      </c>
      <c r="I50" s="6" t="s">
        <v>149</v>
      </c>
      <c r="J50" s="6" t="s">
        <v>202</v>
      </c>
    </row>
    <row r="51" customFormat="false" ht="23.85" hidden="false" customHeight="false" outlineLevel="0" collapsed="false">
      <c r="A51" s="6" t="s">
        <v>206</v>
      </c>
      <c r="B51" s="4" t="s">
        <v>193</v>
      </c>
      <c r="C51" s="4" t="s">
        <v>207</v>
      </c>
      <c r="D51" s="4" t="s">
        <v>39</v>
      </c>
      <c r="E51" s="4" t="s">
        <v>208</v>
      </c>
      <c r="F51" s="6" t="s">
        <v>53</v>
      </c>
      <c r="G51" s="4" t="s">
        <v>42</v>
      </c>
      <c r="H51" s="4" t="s">
        <v>209</v>
      </c>
      <c r="I51" s="6" t="s">
        <v>141</v>
      </c>
      <c r="J51" s="6" t="s">
        <v>55</v>
      </c>
    </row>
    <row r="52" customFormat="false" ht="15" hidden="false" customHeight="false" outlineLevel="0" collapsed="false">
      <c r="A52" s="6" t="s">
        <v>210</v>
      </c>
      <c r="B52" s="4" t="s">
        <v>193</v>
      </c>
      <c r="C52" s="4" t="s">
        <v>211</v>
      </c>
      <c r="D52" s="4" t="s">
        <v>39</v>
      </c>
      <c r="E52" s="4" t="s">
        <v>122</v>
      </c>
      <c r="F52" s="6" t="s">
        <v>41</v>
      </c>
      <c r="G52" s="4" t="s">
        <v>42</v>
      </c>
      <c r="H52" s="4" t="s">
        <v>212</v>
      </c>
      <c r="I52" s="6" t="s">
        <v>213</v>
      </c>
      <c r="J52" s="6" t="s">
        <v>210</v>
      </c>
    </row>
    <row r="53" customFormat="false" ht="15" hidden="false" customHeight="false" outlineLevel="0" collapsed="false">
      <c r="A53" s="6" t="s">
        <v>214</v>
      </c>
      <c r="B53" s="4" t="s">
        <v>193</v>
      </c>
      <c r="C53" s="4" t="s">
        <v>215</v>
      </c>
      <c r="D53" s="4" t="s">
        <v>216</v>
      </c>
      <c r="E53" s="4"/>
      <c r="F53" s="6" t="s">
        <v>53</v>
      </c>
      <c r="G53" s="4" t="s">
        <v>217</v>
      </c>
      <c r="H53" s="4" t="s">
        <v>212</v>
      </c>
      <c r="I53" s="6" t="s">
        <v>213</v>
      </c>
      <c r="J53" s="6" t="s">
        <v>55</v>
      </c>
    </row>
    <row r="54" customFormat="false" ht="15" hidden="false" customHeight="false" outlineLevel="0" collapsed="false">
      <c r="A54" s="6" t="s">
        <v>218</v>
      </c>
      <c r="B54" s="4" t="s">
        <v>219</v>
      </c>
      <c r="C54" s="4" t="s">
        <v>220</v>
      </c>
      <c r="D54" s="4" t="s">
        <v>39</v>
      </c>
      <c r="E54" s="4" t="s">
        <v>221</v>
      </c>
      <c r="F54" s="6" t="s">
        <v>53</v>
      </c>
      <c r="G54" s="4" t="s">
        <v>222</v>
      </c>
      <c r="H54" s="4" t="s">
        <v>223</v>
      </c>
      <c r="I54" s="6" t="s">
        <v>201</v>
      </c>
      <c r="J54" s="6" t="s">
        <v>218</v>
      </c>
    </row>
    <row r="55" customFormat="false" ht="15" hidden="false" customHeight="false" outlineLevel="0" collapsed="false">
      <c r="A55" s="6" t="s">
        <v>224</v>
      </c>
      <c r="B55" s="4" t="s">
        <v>219</v>
      </c>
      <c r="C55" s="4" t="s">
        <v>225</v>
      </c>
      <c r="D55" s="4" t="s">
        <v>39</v>
      </c>
      <c r="E55" s="4" t="s">
        <v>122</v>
      </c>
      <c r="F55" s="6" t="s">
        <v>53</v>
      </c>
      <c r="G55" s="4" t="s">
        <v>222</v>
      </c>
      <c r="H55" s="4" t="s">
        <v>223</v>
      </c>
      <c r="I55" s="6" t="s">
        <v>201</v>
      </c>
      <c r="J55" s="6" t="s">
        <v>55</v>
      </c>
    </row>
    <row r="56" customFormat="false" ht="23.85" hidden="false" customHeight="false" outlineLevel="0" collapsed="false">
      <c r="A56" s="6" t="s">
        <v>226</v>
      </c>
      <c r="B56" s="4" t="s">
        <v>219</v>
      </c>
      <c r="C56" s="4" t="s">
        <v>227</v>
      </c>
      <c r="D56" s="4" t="s">
        <v>117</v>
      </c>
      <c r="E56" s="4" t="s">
        <v>118</v>
      </c>
      <c r="F56" s="6" t="s">
        <v>53</v>
      </c>
      <c r="G56" s="4" t="s">
        <v>222</v>
      </c>
      <c r="H56" s="4" t="s">
        <v>223</v>
      </c>
      <c r="I56" s="6" t="s">
        <v>201</v>
      </c>
      <c r="J56" s="6" t="s">
        <v>226</v>
      </c>
    </row>
    <row r="57" customFormat="false" ht="15" hidden="false" customHeight="false" outlineLevel="0" collapsed="false">
      <c r="A57" s="6" t="s">
        <v>228</v>
      </c>
      <c r="B57" s="4" t="s">
        <v>219</v>
      </c>
      <c r="C57" s="4" t="s">
        <v>229</v>
      </c>
      <c r="D57" s="4" t="s">
        <v>74</v>
      </c>
      <c r="E57" s="4" t="s">
        <v>230</v>
      </c>
      <c r="F57" s="6" t="s">
        <v>53</v>
      </c>
      <c r="G57" s="4" t="s">
        <v>222</v>
      </c>
      <c r="H57" s="4" t="s">
        <v>223</v>
      </c>
      <c r="I57" s="6" t="s">
        <v>201</v>
      </c>
      <c r="J57" s="6" t="s">
        <v>55</v>
      </c>
    </row>
    <row r="58" customFormat="false" ht="15" hidden="false" customHeight="false" outlineLevel="0" collapsed="false">
      <c r="A58" s="6" t="s">
        <v>231</v>
      </c>
      <c r="B58" s="4" t="s">
        <v>219</v>
      </c>
      <c r="C58" s="4" t="s">
        <v>232</v>
      </c>
      <c r="D58" s="4" t="s">
        <v>74</v>
      </c>
      <c r="E58" s="4" t="s">
        <v>233</v>
      </c>
      <c r="F58" s="6" t="s">
        <v>53</v>
      </c>
      <c r="G58" s="4" t="s">
        <v>222</v>
      </c>
      <c r="H58" s="4" t="s">
        <v>223</v>
      </c>
      <c r="I58" s="6" t="s">
        <v>201</v>
      </c>
      <c r="J58" s="6" t="s">
        <v>55</v>
      </c>
    </row>
    <row r="59" customFormat="false" ht="15" hidden="false" customHeight="false" outlineLevel="0" collapsed="false">
      <c r="A59" s="6" t="s">
        <v>234</v>
      </c>
      <c r="B59" s="4" t="s">
        <v>219</v>
      </c>
      <c r="C59" s="4" t="s">
        <v>235</v>
      </c>
      <c r="D59" s="4" t="s">
        <v>39</v>
      </c>
      <c r="E59" s="4" t="s">
        <v>158</v>
      </c>
      <c r="F59" s="6" t="s">
        <v>53</v>
      </c>
      <c r="G59" s="4" t="s">
        <v>222</v>
      </c>
      <c r="H59" s="4" t="s">
        <v>223</v>
      </c>
      <c r="I59" s="6" t="s">
        <v>201</v>
      </c>
      <c r="J59" s="6" t="s">
        <v>234</v>
      </c>
    </row>
    <row r="60" customFormat="false" ht="15" hidden="false" customHeight="false" outlineLevel="0" collapsed="false">
      <c r="A60" s="6" t="s">
        <v>236</v>
      </c>
      <c r="B60" s="4" t="s">
        <v>237</v>
      </c>
      <c r="C60" s="4" t="s">
        <v>238</v>
      </c>
      <c r="D60" s="4" t="s">
        <v>39</v>
      </c>
      <c r="E60" s="4" t="s">
        <v>122</v>
      </c>
      <c r="F60" s="6" t="s">
        <v>53</v>
      </c>
      <c r="G60" s="4" t="s">
        <v>42</v>
      </c>
      <c r="H60" s="4" t="s">
        <v>239</v>
      </c>
      <c r="I60" s="6" t="s">
        <v>55</v>
      </c>
      <c r="J60" s="6" t="s">
        <v>106</v>
      </c>
    </row>
    <row r="62" customFormat="false" ht="15" hidden="false" customHeight="false" outlineLevel="0" collapsed="false">
      <c r="C62" s="8" t="s">
        <v>240</v>
      </c>
    </row>
    <row r="63" customFormat="false" ht="35.05" hidden="false" customHeight="false" outlineLevel="0" collapsed="false">
      <c r="C63" s="9" t="s">
        <v>241</v>
      </c>
    </row>
    <row r="65" customFormat="false" ht="15" hidden="false" customHeight="false" outlineLevel="0" collapsed="false">
      <c r="C65" s="10" t="s">
        <v>242</v>
      </c>
    </row>
  </sheetData>
  <autoFilter ref="A4:J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8"/>
    <col collapsed="false" customWidth="true" hidden="false" outlineLevel="0" max="4" min="4" style="0" width="70"/>
    <col collapsed="false" customWidth="true" hidden="false" outlineLevel="0" max="5" min="5" style="0" width="30"/>
    <col collapsed="false" customWidth="true" hidden="false" outlineLevel="0" max="6" min="6" style="0" width="24"/>
  </cols>
  <sheetData>
    <row r="1" customFormat="false" ht="19.7" hidden="false" customHeight="false" outlineLevel="0" collapsed="false">
      <c r="A1" s="1" t="s">
        <v>243</v>
      </c>
    </row>
    <row r="2" customFormat="false" ht="15" hidden="false" customHeight="false" outlineLevel="0" collapsed="false">
      <c r="A2" s="2" t="s">
        <v>244</v>
      </c>
    </row>
    <row r="4" customFormat="false" ht="30" hidden="false" customHeight="true" outlineLevel="0" collapsed="false">
      <c r="A4" s="5" t="s">
        <v>245</v>
      </c>
      <c r="B4" s="5" t="s">
        <v>246</v>
      </c>
      <c r="C4" s="5" t="s">
        <v>247</v>
      </c>
      <c r="D4" s="5" t="s">
        <v>248</v>
      </c>
      <c r="E4" s="5" t="s">
        <v>249</v>
      </c>
      <c r="F4" s="5" t="s">
        <v>250</v>
      </c>
    </row>
    <row r="5" customFormat="false" ht="23.85" hidden="false" customHeight="false" outlineLevel="0" collapsed="false">
      <c r="A5" s="4" t="s">
        <v>251</v>
      </c>
      <c r="B5" s="11" t="n">
        <v>120</v>
      </c>
      <c r="C5" s="11" t="n">
        <v>50</v>
      </c>
      <c r="D5" s="4" t="s">
        <v>252</v>
      </c>
      <c r="E5" s="4" t="s">
        <v>253</v>
      </c>
      <c r="F5" s="4" t="s">
        <v>254</v>
      </c>
    </row>
    <row r="6" customFormat="false" ht="15" hidden="false" customHeight="false" outlineLevel="0" collapsed="false">
      <c r="A6" s="4" t="s">
        <v>255</v>
      </c>
      <c r="B6" s="11" t="n">
        <v>100</v>
      </c>
      <c r="C6" s="11" t="n">
        <v>50</v>
      </c>
      <c r="D6" s="4" t="s">
        <v>256</v>
      </c>
      <c r="E6" s="4" t="s">
        <v>257</v>
      </c>
      <c r="F6" s="4" t="s">
        <v>254</v>
      </c>
    </row>
    <row r="7" customFormat="false" ht="15" hidden="false" customHeight="false" outlineLevel="0" collapsed="false">
      <c r="A7" s="4" t="s">
        <v>258</v>
      </c>
      <c r="B7" s="11" t="n">
        <v>80</v>
      </c>
      <c r="C7" s="11" t="n">
        <v>40</v>
      </c>
      <c r="D7" s="4" t="s">
        <v>259</v>
      </c>
      <c r="E7" s="4" t="s">
        <v>257</v>
      </c>
      <c r="F7" s="4" t="s">
        <v>254</v>
      </c>
    </row>
    <row r="8" customFormat="false" ht="15" hidden="false" customHeight="false" outlineLevel="0" collapsed="false">
      <c r="A8" s="4" t="s">
        <v>260</v>
      </c>
      <c r="B8" s="11" t="n">
        <v>40</v>
      </c>
      <c r="C8" s="11" t="n">
        <v>20</v>
      </c>
      <c r="D8" s="4" t="s">
        <v>261</v>
      </c>
      <c r="E8" s="4" t="s">
        <v>262</v>
      </c>
      <c r="F8" s="4" t="s">
        <v>263</v>
      </c>
    </row>
    <row r="9" customFormat="false" ht="15" hidden="false" customHeight="false" outlineLevel="0" collapsed="false">
      <c r="A9" s="8" t="s">
        <v>264</v>
      </c>
      <c r="B9" s="12" t="n">
        <f aca="false">SUM(B5:B8)</f>
        <v>340</v>
      </c>
    </row>
    <row r="11" customFormat="false" ht="15" hidden="false" customHeight="false" outlineLevel="0" collapsed="false">
      <c r="A11" s="13" t="s">
        <v>265</v>
      </c>
    </row>
    <row r="12" customFormat="false" ht="15" hidden="false" customHeight="false" outlineLevel="0" collapsed="false">
      <c r="A12" s="14" t="s">
        <v>266</v>
      </c>
      <c r="B12" s="15" t="n">
        <v>300</v>
      </c>
    </row>
    <row r="13" customFormat="false" ht="15" hidden="false" customHeight="false" outlineLevel="0" collapsed="false">
      <c r="A13" s="14" t="s">
        <v>267</v>
      </c>
      <c r="B13" s="16" t="n">
        <f aca="false">1.96*SQRT(0.25/B12)</f>
        <v>0.0565803263805833</v>
      </c>
      <c r="C13" s="10" t="s">
        <v>268</v>
      </c>
    </row>
    <row r="15" customFormat="false" ht="15" hidden="false" customHeight="false" outlineLevel="0" collapsed="false">
      <c r="A15" s="13" t="s">
        <v>269</v>
      </c>
    </row>
    <row r="16" customFormat="false" ht="15" hidden="false" customHeight="true" outlineLevel="0" collapsed="false">
      <c r="A16" s="17" t="s">
        <v>270</v>
      </c>
      <c r="B16" s="17"/>
      <c r="C16" s="17"/>
      <c r="D16" s="17"/>
      <c r="E16" s="17"/>
      <c r="F16" s="17"/>
    </row>
    <row r="17" customFormat="false" ht="15" hidden="false" customHeight="true" outlineLevel="0" collapsed="false">
      <c r="A17" s="17" t="s">
        <v>271</v>
      </c>
      <c r="B17" s="17"/>
      <c r="C17" s="17"/>
      <c r="D17" s="17"/>
      <c r="E17" s="17"/>
      <c r="F17" s="17"/>
    </row>
    <row r="18" customFormat="false" ht="15" hidden="false" customHeight="true" outlineLevel="0" collapsed="false">
      <c r="A18" s="17" t="s">
        <v>272</v>
      </c>
      <c r="B18" s="17"/>
      <c r="C18" s="17"/>
      <c r="D18" s="17"/>
      <c r="E18" s="17"/>
      <c r="F18" s="17"/>
    </row>
    <row r="19" customFormat="false" ht="15" hidden="false" customHeight="true" outlineLevel="0" collapsed="false">
      <c r="A19" s="17" t="s">
        <v>273</v>
      </c>
      <c r="B19" s="17"/>
      <c r="C19" s="17"/>
      <c r="D19" s="17"/>
      <c r="E19" s="17"/>
      <c r="F19" s="17"/>
    </row>
    <row r="20" customFormat="false" ht="15" hidden="false" customHeight="true" outlineLevel="0" collapsed="false">
      <c r="A20" s="17" t="s">
        <v>274</v>
      </c>
      <c r="B20" s="17"/>
      <c r="C20" s="17"/>
      <c r="D20" s="17"/>
      <c r="E20" s="17"/>
      <c r="F20" s="17"/>
    </row>
    <row r="21" customFormat="false" ht="15" hidden="false" customHeight="true" outlineLevel="0" collapsed="false">
      <c r="A21" s="17" t="s">
        <v>275</v>
      </c>
      <c r="B21" s="17"/>
      <c r="C21" s="17"/>
      <c r="D21" s="17"/>
      <c r="E21" s="17"/>
      <c r="F21" s="17"/>
    </row>
  </sheetData>
  <mergeCells count="6">
    <mergeCell ref="A16:F16"/>
    <mergeCell ref="A17:F17"/>
    <mergeCell ref="A18:F18"/>
    <mergeCell ref="A19:F19"/>
    <mergeCell ref="A20:F20"/>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60"/>
    <col collapsed="false" customWidth="true" hidden="false" outlineLevel="0" max="4" min="4" style="0" width="12"/>
  </cols>
  <sheetData>
    <row r="1" customFormat="false" ht="19.7" hidden="false" customHeight="false" outlineLevel="0" collapsed="false">
      <c r="A1" s="1" t="s">
        <v>276</v>
      </c>
    </row>
    <row r="2" customFormat="false" ht="15" hidden="false" customHeight="false" outlineLevel="0" collapsed="false">
      <c r="A2" s="2" t="s">
        <v>277</v>
      </c>
    </row>
    <row r="4" customFormat="false" ht="30" hidden="false" customHeight="true" outlineLevel="0" collapsed="false">
      <c r="A4" s="5" t="s">
        <v>278</v>
      </c>
      <c r="B4" s="5" t="s">
        <v>279</v>
      </c>
      <c r="C4" s="5" t="s">
        <v>280</v>
      </c>
      <c r="D4" s="5" t="s">
        <v>281</v>
      </c>
    </row>
    <row r="5" customFormat="false" ht="15" hidden="false" customHeight="false" outlineLevel="0" collapsed="false">
      <c r="A5" s="6" t="n">
        <v>1</v>
      </c>
      <c r="B5" s="4" t="s">
        <v>282</v>
      </c>
      <c r="C5" s="4" t="s">
        <v>283</v>
      </c>
      <c r="D5" s="6" t="s">
        <v>284</v>
      </c>
    </row>
    <row r="6" customFormat="false" ht="15" hidden="false" customHeight="false" outlineLevel="0" collapsed="false">
      <c r="A6" s="6" t="n">
        <v>2</v>
      </c>
      <c r="B6" s="4" t="s">
        <v>285</v>
      </c>
      <c r="C6" s="4" t="s">
        <v>286</v>
      </c>
      <c r="D6" s="6" t="s">
        <v>287</v>
      </c>
    </row>
    <row r="7" customFormat="false" ht="15" hidden="false" customHeight="false" outlineLevel="0" collapsed="false">
      <c r="A7" s="6" t="n">
        <v>3</v>
      </c>
      <c r="B7" s="4" t="s">
        <v>288</v>
      </c>
      <c r="C7" s="4" t="s">
        <v>289</v>
      </c>
      <c r="D7" s="6" t="s">
        <v>106</v>
      </c>
    </row>
    <row r="8" customFormat="false" ht="15" hidden="false" customHeight="false" outlineLevel="0" collapsed="false">
      <c r="A8" s="6" t="n">
        <v>4</v>
      </c>
      <c r="B8" s="4" t="s">
        <v>290</v>
      </c>
      <c r="C8" s="4" t="s">
        <v>291</v>
      </c>
      <c r="D8" s="6" t="s">
        <v>110</v>
      </c>
    </row>
    <row r="9" customFormat="false" ht="15" hidden="false" customHeight="false" outlineLevel="0" collapsed="false">
      <c r="A9" s="6" t="n">
        <v>5</v>
      </c>
      <c r="B9" s="4" t="s">
        <v>292</v>
      </c>
      <c r="C9" s="4" t="s">
        <v>293</v>
      </c>
      <c r="D9" s="6" t="s">
        <v>294</v>
      </c>
    </row>
    <row r="10" customFormat="false" ht="15" hidden="false" customHeight="false" outlineLevel="0" collapsed="false">
      <c r="A10" s="6" t="n">
        <v>6</v>
      </c>
      <c r="B10" s="4" t="s">
        <v>295</v>
      </c>
      <c r="C10" s="4" t="s">
        <v>296</v>
      </c>
      <c r="D10" s="6" t="s">
        <v>148</v>
      </c>
    </row>
    <row r="11" customFormat="false" ht="15" hidden="false" customHeight="false" outlineLevel="0" collapsed="false">
      <c r="A11" s="6" t="n">
        <v>7</v>
      </c>
      <c r="B11" s="4" t="s">
        <v>297</v>
      </c>
      <c r="C11" s="4" t="s">
        <v>298</v>
      </c>
      <c r="D11" s="6" t="s">
        <v>155</v>
      </c>
    </row>
    <row r="12" customFormat="false" ht="15" hidden="false" customHeight="false" outlineLevel="0" collapsed="false">
      <c r="A12" s="6" t="n">
        <v>8</v>
      </c>
      <c r="B12" s="4" t="s">
        <v>299</v>
      </c>
      <c r="C12" s="4" t="s">
        <v>300</v>
      </c>
      <c r="D12" s="6" t="s">
        <v>161</v>
      </c>
    </row>
    <row r="13" customFormat="false" ht="15" hidden="false" customHeight="false" outlineLevel="0" collapsed="false">
      <c r="A13" s="6" t="n">
        <v>9</v>
      </c>
      <c r="B13" s="4" t="s">
        <v>301</v>
      </c>
      <c r="C13" s="4" t="s">
        <v>302</v>
      </c>
      <c r="D13" s="6" t="s">
        <v>195</v>
      </c>
    </row>
    <row r="14" customFormat="false" ht="15" hidden="false" customHeight="false" outlineLevel="0" collapsed="false">
      <c r="A14" s="6" t="n">
        <v>10</v>
      </c>
      <c r="B14" s="4" t="s">
        <v>303</v>
      </c>
      <c r="C14" s="4" t="s">
        <v>304</v>
      </c>
      <c r="D14" s="6"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34"/>
    <col collapsed="false" customWidth="true" hidden="false" outlineLevel="0" max="37" min="4" style="0" width="14"/>
  </cols>
  <sheetData>
    <row r="1" customFormat="false" ht="19.7" hidden="false" customHeight="false" outlineLevel="0" collapsed="false">
      <c r="A1" s="1" t="s">
        <v>305</v>
      </c>
    </row>
    <row r="2" customFormat="false" ht="15" hidden="false" customHeight="false" outlineLevel="0" collapsed="false">
      <c r="A2" s="2" t="s">
        <v>306</v>
      </c>
    </row>
    <row r="5" customFormat="false" ht="60" hidden="false" customHeight="true" outlineLevel="0" collapsed="false">
      <c r="A5" s="5" t="s">
        <v>307</v>
      </c>
      <c r="B5" s="5" t="s">
        <v>308</v>
      </c>
      <c r="C5" s="5" t="s">
        <v>309</v>
      </c>
      <c r="D5" s="5" t="s">
        <v>310</v>
      </c>
      <c r="E5" s="5" t="s">
        <v>311</v>
      </c>
      <c r="F5" s="5" t="s">
        <v>312</v>
      </c>
      <c r="G5" s="5" t="s">
        <v>313</v>
      </c>
      <c r="H5" s="5" t="s">
        <v>314</v>
      </c>
      <c r="I5" s="5" t="s">
        <v>315</v>
      </c>
      <c r="J5" s="5" t="s">
        <v>316</v>
      </c>
      <c r="K5" s="5" t="s">
        <v>317</v>
      </c>
      <c r="L5" s="5" t="s">
        <v>318</v>
      </c>
      <c r="M5" s="5" t="s">
        <v>319</v>
      </c>
      <c r="N5" s="5" t="s">
        <v>320</v>
      </c>
      <c r="O5" s="5" t="s">
        <v>321</v>
      </c>
      <c r="P5" s="5" t="s">
        <v>322</v>
      </c>
      <c r="Q5" s="5" t="s">
        <v>323</v>
      </c>
      <c r="R5" s="5" t="s">
        <v>324</v>
      </c>
      <c r="S5" s="5" t="s">
        <v>325</v>
      </c>
      <c r="T5" s="5" t="s">
        <v>326</v>
      </c>
      <c r="U5" s="5" t="s">
        <v>327</v>
      </c>
      <c r="V5" s="5" t="s">
        <v>328</v>
      </c>
      <c r="W5" s="5" t="s">
        <v>329</v>
      </c>
      <c r="X5" s="5" t="s">
        <v>330</v>
      </c>
      <c r="Y5" s="5" t="s">
        <v>331</v>
      </c>
      <c r="Z5" s="5" t="s">
        <v>332</v>
      </c>
      <c r="AA5" s="5" t="s">
        <v>333</v>
      </c>
      <c r="AB5" s="5" t="s">
        <v>334</v>
      </c>
      <c r="AC5" s="5" t="s">
        <v>335</v>
      </c>
      <c r="AD5" s="5" t="s">
        <v>336</v>
      </c>
      <c r="AE5" s="5" t="s">
        <v>337</v>
      </c>
      <c r="AF5" s="5" t="s">
        <v>338</v>
      </c>
      <c r="AG5" s="5" t="s">
        <v>339</v>
      </c>
      <c r="AH5" s="5" t="s">
        <v>340</v>
      </c>
      <c r="AI5" s="5" t="s">
        <v>341</v>
      </c>
      <c r="AJ5" s="5" t="s">
        <v>342</v>
      </c>
      <c r="AK5" s="5" t="s">
        <v>343</v>
      </c>
    </row>
    <row r="6" customFormat="false" ht="15" hidden="false" customHeight="false" outlineLevel="0" collapsed="false">
      <c r="A6" s="18" t="s">
        <v>344</v>
      </c>
      <c r="B6" s="18" t="s">
        <v>345</v>
      </c>
      <c r="C6" s="18" t="s">
        <v>346</v>
      </c>
      <c r="D6" s="18" t="s">
        <v>347</v>
      </c>
      <c r="E6" s="18" t="s">
        <v>348</v>
      </c>
      <c r="F6" s="18" t="n">
        <v>4</v>
      </c>
      <c r="G6" s="18" t="n">
        <v>3</v>
      </c>
      <c r="H6" s="18" t="n">
        <v>5</v>
      </c>
      <c r="I6" s="18" t="n">
        <v>4</v>
      </c>
      <c r="J6" s="18" t="n">
        <v>4</v>
      </c>
      <c r="K6" s="18" t="n">
        <v>3</v>
      </c>
      <c r="L6" s="18" t="n">
        <v>4</v>
      </c>
      <c r="M6" s="18" t="n">
        <v>2</v>
      </c>
      <c r="N6" s="18" t="n">
        <v>3</v>
      </c>
      <c r="O6" s="18" t="s">
        <v>349</v>
      </c>
      <c r="P6" s="18" t="s">
        <v>41</v>
      </c>
      <c r="Q6" s="18" t="n">
        <v>16</v>
      </c>
      <c r="R6" s="18" t="n">
        <v>2</v>
      </c>
      <c r="S6" s="18" t="n">
        <v>3</v>
      </c>
      <c r="T6" s="18" t="s">
        <v>41</v>
      </c>
      <c r="U6" s="18" t="n">
        <v>3</v>
      </c>
      <c r="V6" s="18" t="s">
        <v>350</v>
      </c>
      <c r="W6" s="18" t="n">
        <v>5</v>
      </c>
      <c r="X6" s="18" t="s">
        <v>41</v>
      </c>
      <c r="Y6" s="18" t="n">
        <v>4</v>
      </c>
      <c r="Z6" s="18" t="s">
        <v>351</v>
      </c>
      <c r="AA6" s="18" t="s">
        <v>352</v>
      </c>
      <c r="AB6" s="18" t="s">
        <v>53</v>
      </c>
      <c r="AC6" s="18" t="n">
        <v>4</v>
      </c>
      <c r="AD6" s="18" t="n">
        <v>4</v>
      </c>
      <c r="AE6" s="18" t="n">
        <v>4</v>
      </c>
      <c r="AF6" s="18" t="s">
        <v>353</v>
      </c>
      <c r="AG6" s="18" t="s">
        <v>41</v>
      </c>
      <c r="AH6" s="18"/>
      <c r="AI6" s="18"/>
      <c r="AJ6" s="18"/>
      <c r="AK6" s="18" t="s">
        <v>41</v>
      </c>
    </row>
  </sheetData>
  <dataValidations count="12">
    <dataValidation allowBlank="true" errorStyle="stop" operator="between" showDropDown="false" showErrorMessage="false" showInputMessage="false" sqref="D7:D1006" type="list">
      <formula1>"In the UAE,Outside the UAE"</formula1>
      <formula2>0</formula2>
    </dataValidation>
    <dataValidation allowBlank="true" errorStyle="stop" operator="between" showDropDown="false" showErrorMessage="false" showInputMessage="false" sqref="E7:E1006" type="list">
      <formula1>"Under AED 500k,AED 500k-1m,AED 1m-2m,AED 2m-5m,Over AED 5m,Not sure"</formula1>
      <formula2>0</formula2>
    </dataValidation>
    <dataValidation allowBlank="true" errorStyle="stop" operator="between" showDropDown="false" showErrorMessage="false" showInputMessage="false" sqref="F7:N1006 R7:S1006 U7:U1006 W7:W1006 Y7:Y1006 AC7:AE1006 AI7:AI1006" type="whole">
      <formula1>1</formula1>
      <formula2>5</formula2>
    </dataValidation>
    <dataValidation allowBlank="true" errorStyle="stop" operator="between" showDropDown="false" showErrorMessage="false" showInputMessage="false" sqref="P7:P1006" type="list">
      <formula1>"Yes,No,Not sure"</formula1>
      <formula2>0</formula2>
    </dataValidation>
    <dataValidation allowBlank="true" errorStyle="stop" operator="between" showDropDown="false" showErrorMessage="false" showInputMessage="false" sqref="T7:T1006" type="list">
      <formula1>"Yes,No,Not sure"</formula1>
      <formula2>0</formula2>
    </dataValidation>
    <dataValidation allowBlank="true" errorStyle="stop" operator="between" showDropDown="false" showErrorMessage="false" showInputMessage="false" sqref="AB7:AB1006" type="list">
      <formula1>"Yes,No,Not sure"</formula1>
      <formula2>0</formula2>
    </dataValidation>
    <dataValidation allowBlank="true" errorStyle="stop" operator="between" showDropDown="false" showErrorMessage="false" showInputMessage="false" sqref="X7:X1006" type="list">
      <formula1>"Yes,Maybe,No"</formula1>
      <formula2>0</formula2>
    </dataValidation>
    <dataValidation allowBlank="true" errorStyle="stop" operator="between" showDropDown="false" showErrorMessage="false" showInputMessage="false" sqref="AJ7:AJ1006" type="list">
      <formula1>"Yes,Maybe,No"</formula1>
      <formula2>0</formula2>
    </dataValidation>
    <dataValidation allowBlank="true" errorStyle="stop" operator="between" showDropDown="false" showErrorMessage="false" showInputMessage="false" sqref="AG7:AG1006" type="list">
      <formula1>"Yes,No"</formula1>
      <formula2>0</formula2>
    </dataValidation>
    <dataValidation allowBlank="true" errorStyle="stop" operator="between" showDropDown="false" showErrorMessage="false" showInputMessage="false" sqref="AK7:AK1006" type="list">
      <formula1>"Yes,No"</formula1>
      <formula2>0</formula2>
    </dataValidation>
    <dataValidation allowBlank="true" errorStyle="stop" operator="between" showDropDown="false" showErrorMessage="false" showInputMessage="false" sqref="Z7:Z1006" type="list">
      <formula1>"Definitely,Probably,Not sure,Probably not,Definitely not"</formula1>
      <formula2>0</formula2>
    </dataValidation>
    <dataValidation allowBlank="true" errorStyle="stop" operator="between" showDropDown="false" showErrorMessage="false" showInputMessage="false" sqref="AA7:AA1006" type="list">
      <formula1>"Definitely,Probably,Not sure,Probably not,Definitely not"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3" min="1" style="0" width="44"/>
    <col collapsed="false" customWidth="true" hidden="false" outlineLevel="0" max="4" min="4" style="0" width="14"/>
    <col collapsed="false" customWidth="true" hidden="false" outlineLevel="0" max="5" min="5" style="0" width="10"/>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22"/>
    <col collapsed="false" customWidth="true" hidden="false" outlineLevel="0" max="10" min="10" style="0" width="8"/>
    <col collapsed="false" customWidth="true" hidden="false" outlineLevel="0" max="11" min="11" style="0" width="90"/>
  </cols>
  <sheetData>
    <row r="1" customFormat="false" ht="19.7" hidden="false" customHeight="false" outlineLevel="0" collapsed="false">
      <c r="A1" s="1" t="s">
        <v>354</v>
      </c>
    </row>
    <row r="2" customFormat="false" ht="15" hidden="false" customHeight="false" outlineLevel="0" collapsed="false">
      <c r="A2" s="2" t="s">
        <v>355</v>
      </c>
    </row>
    <row r="4" customFormat="false" ht="15" hidden="false" customHeight="false" outlineLevel="0" collapsed="false">
      <c r="A4" s="13" t="s">
        <v>356</v>
      </c>
    </row>
    <row r="5" customFormat="false" ht="30" hidden="false" customHeight="true" outlineLevel="0" collapsed="false">
      <c r="A5" s="5" t="s">
        <v>357</v>
      </c>
      <c r="B5" s="5" t="s">
        <v>358</v>
      </c>
      <c r="C5" s="5" t="s">
        <v>359</v>
      </c>
    </row>
    <row r="6" customFormat="false" ht="15" hidden="false" customHeight="false" outlineLevel="0" collapsed="false">
      <c r="A6" s="4" t="s">
        <v>360</v>
      </c>
      <c r="B6" s="4" t="n">
        <f aca="false">COUNTA(Responses!$C$7:$C$1006)</f>
        <v>0</v>
      </c>
      <c r="C6" s="4"/>
    </row>
    <row r="7" customFormat="false" ht="15" hidden="false" customHeight="false" outlineLevel="0" collapsed="false">
      <c r="A7" s="4" t="s">
        <v>361</v>
      </c>
      <c r="B7" s="4" t="n">
        <f aca="false">COUNTIF(Responses!$D$7:$D$1006,"In the UAE")</f>
        <v>0</v>
      </c>
      <c r="C7" s="4"/>
    </row>
    <row r="8" customFormat="false" ht="15" hidden="false" customHeight="false" outlineLevel="0" collapsed="false">
      <c r="A8" s="4" t="s">
        <v>347</v>
      </c>
      <c r="B8" s="4" t="n">
        <f aca="false">COUNTIF(Responses!$D$7:$D$1006,"Outside the UAE")</f>
        <v>0</v>
      </c>
      <c r="C8" s="4"/>
    </row>
    <row r="9" customFormat="false" ht="15" hidden="false" customHeight="false" outlineLevel="0" collapsed="false">
      <c r="A9" s="4" t="s">
        <v>362</v>
      </c>
      <c r="B9" s="19" t="n">
        <v>100</v>
      </c>
      <c r="C9" s="20" t="s">
        <v>363</v>
      </c>
    </row>
    <row r="10" customFormat="false" ht="15" hidden="false" customHeight="false" outlineLevel="0" collapsed="false">
      <c r="A10" s="4" t="s">
        <v>364</v>
      </c>
      <c r="B10" s="21" t="str">
        <f aca="false">IFERROR(1.96*SQRT(0.25/B6),"")</f>
        <v/>
      </c>
      <c r="C10" s="20" t="s">
        <v>365</v>
      </c>
    </row>
    <row r="12" customFormat="false" ht="15" hidden="false" customHeight="false" outlineLevel="0" collapsed="false">
      <c r="A12" s="13" t="s">
        <v>366</v>
      </c>
    </row>
    <row r="13" customFormat="false" ht="31.5" hidden="false" customHeight="true" outlineLevel="0" collapsed="false">
      <c r="A13" s="5" t="s">
        <v>367</v>
      </c>
      <c r="B13" s="5" t="s">
        <v>281</v>
      </c>
      <c r="C13" s="5" t="s">
        <v>357</v>
      </c>
      <c r="D13" s="5" t="s">
        <v>368</v>
      </c>
      <c r="E13" s="5" t="s">
        <v>369</v>
      </c>
      <c r="F13" s="5" t="s">
        <v>361</v>
      </c>
      <c r="G13" s="5" t="s">
        <v>347</v>
      </c>
      <c r="H13" s="5" t="s">
        <v>370</v>
      </c>
      <c r="I13" s="5" t="s">
        <v>371</v>
      </c>
      <c r="J13" s="5" t="s">
        <v>34</v>
      </c>
      <c r="K13" s="5" t="s">
        <v>372</v>
      </c>
    </row>
    <row r="14" customFormat="false" ht="15" hidden="false" customHeight="false" outlineLevel="0" collapsed="false">
      <c r="A14" s="6" t="s">
        <v>236</v>
      </c>
      <c r="B14" s="4" t="s">
        <v>373</v>
      </c>
      <c r="C14" s="4" t="s">
        <v>374</v>
      </c>
      <c r="D14" s="22" t="n">
        <v>0.6</v>
      </c>
      <c r="E14" s="23" t="str">
        <f aca="false">IFERROR(COUNTIF(Responses!$F$7:$F$1006,"&gt;=4")/COUNT(Responses!$F$7:$F$1006),"")</f>
        <v/>
      </c>
      <c r="F14" s="23" t="str">
        <f aca="false">IFERROR(COUNTIFS(Responses!$F$7:$F$1006,"&gt;=4",Responses!$D$7:$D$1006,"In the UAE")/COUNTIFS(Responses!$F$7:$F$1006,"&gt;=1",Responses!$D$7:$D$1006,"In the UAE"),"")</f>
        <v/>
      </c>
      <c r="G14" s="23" t="str">
        <f aca="false">IFERROR(COUNTIFS(Responses!$F$7:$F$1006,"&gt;=4",Responses!$D$7:$D$1006,"Outside the UAE")/COUNTIFS(Responses!$F$7:$F$1006,"&gt;=1",Responses!$D$7:$D$1006,"Outside the UAE"),"")</f>
        <v/>
      </c>
      <c r="H14" s="6" t="n">
        <f aca="false">COUNTA(Responses!$F$7:$F$1006)</f>
        <v>0</v>
      </c>
      <c r="I14" s="4" t="str">
        <f aca="false">IF(H14&lt;$B$9,"Need more responses",IF(E14="","No data",IF(E14&gt;=D14,"Supported","Not supported")))</f>
        <v>Need more responses</v>
      </c>
      <c r="J14" s="6" t="s">
        <v>78</v>
      </c>
      <c r="K14" s="4" t="str">
        <f aca="false">IF(OR(E14="",H14&lt;$B$9),"Not enough data yet","Of "&amp;H14&amp;" respondents, "&amp;TEXT(E14,"0%")&amp;" found it hard (4 or 5 out of 5) to find reliable information.")</f>
        <v>Not enough data yet</v>
      </c>
    </row>
    <row r="15" customFormat="false" ht="15" hidden="false" customHeight="false" outlineLevel="0" collapsed="false">
      <c r="A15" s="6" t="s">
        <v>106</v>
      </c>
      <c r="B15" s="4" t="s">
        <v>375</v>
      </c>
      <c r="C15" s="4" t="s">
        <v>376</v>
      </c>
      <c r="D15" s="22" t="n">
        <v>0.5</v>
      </c>
      <c r="E15" s="23" t="str">
        <f aca="false">IFERROR((COUNTIF(Responses!$O$7:$O$1006,"Yes, more than once")+COUNTIF(Responses!$O$7:$O$1006,"Yes, once"))/COUNTA(Responses!$O$7:$O$1006),"")</f>
        <v/>
      </c>
      <c r="F15" s="23" t="str">
        <f aca="false">IFERROR((COUNTIFS(Responses!$O$7:$O$1006,"Yes, more than once",Responses!$D$7:$D$1006,"In the UAE")+COUNTIFS(Responses!$O$7:$O$1006,"Yes, once",Responses!$D$7:$D$1006,"In the UAE"))/COUNTIFS(Responses!$O$7:$O$1006,"&lt;&gt;",Responses!$D$7:$D$1006,"In the UAE"),"")</f>
        <v/>
      </c>
      <c r="G15" s="23" t="str">
        <f aca="false">IFERROR((COUNTIFS(Responses!$O$7:$O$1006,"Yes, more than once",Responses!$D$7:$D$1006,"Outside the UAE")+COUNTIFS(Responses!$O$7:$O$1006,"Yes, once",Responses!$D$7:$D$1006,"Outside the UAE"))/COUNTIFS(Responses!$O$7:$O$1006,"&lt;&gt;",Responses!$D$7:$D$1006,"Outside the UAE"),"")</f>
        <v/>
      </c>
      <c r="H15" s="6" t="n">
        <f aca="false">COUNTA(Responses!$O$7:$O$1006)</f>
        <v>0</v>
      </c>
      <c r="I15" s="4" t="str">
        <f aca="false">IF(H15&lt;$B$9,"Need more responses",IF(E15="","No data",IF(E15&gt;=D15,"Supported","Not supported")))</f>
        <v>Need more responses</v>
      </c>
      <c r="J15" s="6" t="s">
        <v>78</v>
      </c>
      <c r="K15" s="4" t="str">
        <f aca="false">IF(OR(E15="",H15&lt;$B$9),"Not enough data yet","Of "&amp;H15&amp;" respondents, "&amp;TEXT(E15,"0%")&amp;" had contacted someone about a property that was already gone or not as described.")</f>
        <v>Not enough data yet</v>
      </c>
    </row>
    <row r="16" customFormat="false" ht="15" hidden="false" customHeight="false" outlineLevel="0" collapsed="false">
      <c r="A16" s="6" t="s">
        <v>110</v>
      </c>
      <c r="B16" s="4" t="s">
        <v>377</v>
      </c>
      <c r="C16" s="4" t="s">
        <v>378</v>
      </c>
      <c r="D16" s="22" t="n">
        <v>0.4</v>
      </c>
      <c r="E16" s="23" t="str">
        <f aca="false">IFERROR((COUNTIF(Responses!$P$7:$P$1006,"Yes"))/COUNTA(Responses!$P$7:$P$1006),"")</f>
        <v/>
      </c>
      <c r="F16" s="23" t="str">
        <f aca="false">IFERROR((COUNTIFS(Responses!$P$7:$P$1006,"Yes",Responses!$D$7:$D$1006,"In the UAE"))/COUNTIFS(Responses!$P$7:$P$1006,"&lt;&gt;",Responses!$D$7:$D$1006,"In the UAE"),"")</f>
        <v/>
      </c>
      <c r="G16" s="23" t="str">
        <f aca="false">IFERROR((COUNTIFS(Responses!$P$7:$P$1006,"Yes",Responses!$D$7:$D$1006,"Outside the UAE"))/COUNTIFS(Responses!$P$7:$P$1006,"&lt;&gt;",Responses!$D$7:$D$1006,"Outside the UAE"),"")</f>
        <v/>
      </c>
      <c r="H16" s="6" t="n">
        <f aca="false">COUNTA(Responses!$P$7:$P$1006)</f>
        <v>0</v>
      </c>
      <c r="I16" s="4" t="str">
        <f aca="false">IF(H16&lt;$B$9,"Need more responses",IF(E16="","No data",IF(E16&gt;=D16,"Supported","Not supported")))</f>
        <v>Need more responses</v>
      </c>
      <c r="J16" s="6" t="s">
        <v>78</v>
      </c>
      <c r="K16" s="4" t="str">
        <f aca="false">IF(OR(E16="",H16&lt;$B$9),"Not enough data yet","Of "&amp;H16&amp;" respondents, "&amp;TEXT(E16,"0%")&amp;" faced costs they did not expect.")</f>
        <v>Not enough data yet</v>
      </c>
    </row>
    <row r="17" customFormat="false" ht="15" hidden="false" customHeight="false" outlineLevel="0" collapsed="false">
      <c r="A17" s="6" t="s">
        <v>128</v>
      </c>
      <c r="B17" s="4" t="s">
        <v>379</v>
      </c>
      <c r="C17" s="4" t="s">
        <v>380</v>
      </c>
      <c r="D17" s="22" t="n">
        <v>0.5</v>
      </c>
      <c r="E17" s="23" t="str">
        <f aca="false">IFERROR(COUNTIF(Responses!$J$7:$J$1006,"&gt;=4")/COUNT(Responses!$J$7:$J$1006),"")</f>
        <v/>
      </c>
      <c r="F17" s="23" t="str">
        <f aca="false">IFERROR(COUNTIFS(Responses!$J$7:$J$1006,"&gt;=4",Responses!$D$7:$D$1006,"In the UAE")/COUNTIFS(Responses!$J$7:$J$1006,"&gt;=1",Responses!$D$7:$D$1006,"In the UAE"),"")</f>
        <v/>
      </c>
      <c r="G17" s="23" t="str">
        <f aca="false">IFERROR(COUNTIFS(Responses!$J$7:$J$1006,"&gt;=4",Responses!$D$7:$D$1006,"Outside the UAE")/COUNTIFS(Responses!$J$7:$J$1006,"&gt;=1",Responses!$D$7:$D$1006,"Outside the UAE"),"")</f>
        <v/>
      </c>
      <c r="H17" s="6" t="n">
        <f aca="false">COUNTA(Responses!$J$7:$J$1006)</f>
        <v>0</v>
      </c>
      <c r="I17" s="4" t="str">
        <f aca="false">IF(H17&lt;$B$9,"Need more responses",IF(E17="","No data",IF(E17&gt;=D17,"Supported","Not supported")))</f>
        <v>Need more responses</v>
      </c>
      <c r="J17" s="6" t="s">
        <v>78</v>
      </c>
      <c r="K17" s="4" t="str">
        <f aca="false">IF(OR(E17="",H17&lt;$B$9),"Not enough data yet","Of "&amp;H17&amp;" respondents, "&amp;TEXT(E17,"0%")&amp;" found paperwork and government registrations hard (4 or 5 out of 5).")</f>
        <v>Not enough data yet</v>
      </c>
    </row>
    <row r="18" customFormat="false" ht="15" hidden="false" customHeight="false" outlineLevel="0" collapsed="false">
      <c r="A18" s="6" t="s">
        <v>381</v>
      </c>
      <c r="B18" s="4" t="s">
        <v>382</v>
      </c>
      <c r="C18" s="4" t="s">
        <v>383</v>
      </c>
      <c r="D18" s="22" t="n">
        <v>0.3</v>
      </c>
      <c r="E18" s="23" t="str">
        <f aca="false">IFERROR((COUNTIF(Responses!$T$7:$T$1006,"Yes"))/COUNTA(Responses!$T$7:$T$1006),"")</f>
        <v/>
      </c>
      <c r="F18" s="23" t="str">
        <f aca="false">IFERROR((COUNTIFS(Responses!$T$7:$T$1006,"Yes",Responses!$D$7:$D$1006,"In the UAE"))/COUNTIFS(Responses!$T$7:$T$1006,"&lt;&gt;",Responses!$D$7:$D$1006,"In the UAE"),"")</f>
        <v/>
      </c>
      <c r="G18" s="23" t="str">
        <f aca="false">IFERROR((COUNTIFS(Responses!$T$7:$T$1006,"Yes",Responses!$D$7:$D$1006,"Outside the UAE"))/COUNTIFS(Responses!$T$7:$T$1006,"&lt;&gt;",Responses!$D$7:$D$1006,"Outside the UAE"),"")</f>
        <v/>
      </c>
      <c r="H18" s="6" t="n">
        <f aca="false">COUNTA(Responses!$T$7:$T$1006)</f>
        <v>0</v>
      </c>
      <c r="I18" s="4" t="str">
        <f aca="false">IF(H18&lt;$B$9,"Need more responses",IF(E18="","No data",IF(E18&gt;=D18,"Supported","Not supported")))</f>
        <v>Need more responses</v>
      </c>
      <c r="J18" s="6" t="s">
        <v>78</v>
      </c>
      <c r="K18" s="4" t="str">
        <f aca="false">IF(OR(E18="",H18&lt;$B$9),"Not enough data yet","Of "&amp;H18&amp;" respondents, "&amp;TEXT(E18,"0%")&amp;" had delayed or given up because it felt too complicated or risky.")</f>
        <v>Not enough data yet</v>
      </c>
    </row>
    <row r="19" customFormat="false" ht="15" hidden="false" customHeight="false" outlineLevel="0" collapsed="false">
      <c r="A19" s="6" t="s">
        <v>184</v>
      </c>
      <c r="B19" s="4" t="s">
        <v>384</v>
      </c>
      <c r="C19" s="4" t="s">
        <v>385</v>
      </c>
      <c r="D19" s="22" t="n">
        <v>0.25</v>
      </c>
      <c r="E19" s="23" t="str">
        <f aca="false">IFERROR((COUNTIF(Responses!$AB$7:$AB$1006,"Yes"))/COUNTA(Responses!$AB$7:$AB$1006),"")</f>
        <v/>
      </c>
      <c r="F19" s="23" t="str">
        <f aca="false">IFERROR((COUNTIFS(Responses!$AB$7:$AB$1006,"Yes",Responses!$D$7:$D$1006,"In the UAE"))/COUNTIFS(Responses!$AB$7:$AB$1006,"&lt;&gt;",Responses!$D$7:$D$1006,"In the UAE"),"")</f>
        <v/>
      </c>
      <c r="G19" s="23" t="str">
        <f aca="false">IFERROR((COUNTIFS(Responses!$AB$7:$AB$1006,"Yes",Responses!$D$7:$D$1006,"Outside the UAE"))/COUNTIFS(Responses!$AB$7:$AB$1006,"&lt;&gt;",Responses!$D$7:$D$1006,"Outside the UAE"),"")</f>
        <v/>
      </c>
      <c r="H19" s="6" t="n">
        <f aca="false">COUNTA(Responses!$AB$7:$AB$1006)</f>
        <v>0</v>
      </c>
      <c r="I19" s="4" t="str">
        <f aca="false">IF(H19&lt;$B$9,"Need more responses",IF(E19="","No data",IF(E19&gt;=D19,"Supported","Not supported")))</f>
        <v>Need more responses</v>
      </c>
      <c r="J19" s="6" t="s">
        <v>78</v>
      </c>
      <c r="K19" s="4" t="str">
        <f aca="false">IF(OR(E19="",H19&lt;$B$9),"Not enough data yet","Of "&amp;H19&amp;" respondents, "&amp;TEXT(E19,"0%")&amp;" had missed or been late on a payment, registration or document deadline.")</f>
        <v>Not enough data yet</v>
      </c>
    </row>
    <row r="20" customFormat="false" ht="15" hidden="false" customHeight="false" outlineLevel="0" collapsed="false">
      <c r="A20" s="6" t="s">
        <v>187</v>
      </c>
      <c r="B20" s="4" t="s">
        <v>386</v>
      </c>
      <c r="C20" s="4" t="s">
        <v>387</v>
      </c>
      <c r="D20" s="22" t="n">
        <v>0.6</v>
      </c>
      <c r="E20" s="23" t="str">
        <f aca="false">IFERROR(COUNTIF(Responses!$AC$7:$AC$1006,"&gt;=4")/COUNT(Responses!$AC$7:$AC$1006),"")</f>
        <v/>
      </c>
      <c r="F20" s="23" t="str">
        <f aca="false">IFERROR(COUNTIFS(Responses!$AC$7:$AC$1006,"&gt;=4",Responses!$D$7:$D$1006,"In the UAE")/COUNTIFS(Responses!$AC$7:$AC$1006,"&gt;=1",Responses!$D$7:$D$1006,"In the UAE"),"")</f>
        <v/>
      </c>
      <c r="G20" s="23" t="str">
        <f aca="false">IFERROR(COUNTIFS(Responses!$AC$7:$AC$1006,"&gt;=4",Responses!$D$7:$D$1006,"Outside the UAE")/COUNTIFS(Responses!$AC$7:$AC$1006,"&gt;=1",Responses!$D$7:$D$1006,"Outside the UAE"),"")</f>
        <v/>
      </c>
      <c r="H20" s="6" t="n">
        <f aca="false">COUNTA(Responses!$AC$7:$AC$1006)</f>
        <v>0</v>
      </c>
      <c r="I20" s="4" t="str">
        <f aca="false">IF(H20&lt;$B$9,"Need more responses",IF(E20="","No data",IF(E20&gt;=D20,"Supported","Not supported")))</f>
        <v>Need more responses</v>
      </c>
      <c r="J20" s="6" t="s">
        <v>141</v>
      </c>
      <c r="K20" s="4" t="str">
        <f aca="false">IF(OR(E20="",H20&lt;$B$9),"Not enough data yet","Of "&amp;H20&amp;" respondents, "&amp;TEXT(E20,"0%")&amp;" said one dashboard for documents and payments would be very useful (4 or 5 out of 5).")</f>
        <v>Not enough data yet</v>
      </c>
    </row>
    <row r="21" customFormat="false" ht="15" hidden="false" customHeight="false" outlineLevel="0" collapsed="false">
      <c r="A21" s="6" t="s">
        <v>148</v>
      </c>
      <c r="B21" s="4" t="s">
        <v>388</v>
      </c>
      <c r="C21" s="4" t="s">
        <v>389</v>
      </c>
      <c r="D21" s="22" t="n">
        <v>0.3</v>
      </c>
      <c r="E21" s="23" t="str">
        <f aca="false">IFERROR((COUNTA(Responses!$V$7:$V$1006)-COUNTIF(Responses!$V$7:$V$1006,"No, only if free"))/COUNTA(Responses!$V$7:$V$1006),"")</f>
        <v/>
      </c>
      <c r="F21" s="23" t="str">
        <f aca="false">IFERROR((COUNTIFS(Responses!$V$7:$V$1006,"&lt;&gt;",Responses!$D$7:$D$1006,"In the UAE")-COUNTIFS(Responses!$V$7:$V$1006,"No, only if free",Responses!$D$7:$D$1006,"In the UAE"))/COUNTIFS(Responses!$V$7:$V$1006,"&lt;&gt;",Responses!$D$7:$D$1006,"In the UAE"),"")</f>
        <v/>
      </c>
      <c r="G21" s="23" t="str">
        <f aca="false">IFERROR((COUNTIFS(Responses!$V$7:$V$1006,"&lt;&gt;",Responses!$D$7:$D$1006,"Outside the UAE")-COUNTIFS(Responses!$V$7:$V$1006,"No, only if free",Responses!$D$7:$D$1006,"Outside the UAE"))/COUNTIFS(Responses!$V$7:$V$1006,"&lt;&gt;",Responses!$D$7:$D$1006,"Outside the UAE"),"")</f>
        <v/>
      </c>
      <c r="H21" s="6" t="n">
        <f aca="false">COUNTA(Responses!$V$7:$V$1006)</f>
        <v>0</v>
      </c>
      <c r="I21" s="4" t="str">
        <f aca="false">IF(H21&lt;$B$9,"Need more responses",IF(E21="","No data",IF(E21&gt;=D21,"Supported","Not supported")))</f>
        <v>Need more responses</v>
      </c>
      <c r="J21" s="6" t="s">
        <v>149</v>
      </c>
      <c r="K21" s="4" t="str">
        <f aca="false">IF(OR(E21="",H21&lt;$B$9),"Not enough data yet","Of "&amp;H21&amp;" respondents, "&amp;TEXT(E21,"0%")&amp;" would pay for independent insights.")</f>
        <v>Not enough data yet</v>
      </c>
    </row>
    <row r="22" customFormat="false" ht="15" hidden="false" customHeight="false" outlineLevel="0" collapsed="false">
      <c r="A22" s="6" t="s">
        <v>155</v>
      </c>
      <c r="B22" s="4" t="s">
        <v>390</v>
      </c>
      <c r="C22" s="4" t="s">
        <v>391</v>
      </c>
      <c r="D22" s="22" t="n">
        <v>0.6</v>
      </c>
      <c r="E22" s="23" t="str">
        <f aca="false">IFERROR(COUNTIF(Responses!$W$7:$W$1006,"&gt;=4")/COUNT(Responses!$W$7:$W$1006),"")</f>
        <v/>
      </c>
      <c r="F22" s="23" t="str">
        <f aca="false">IFERROR(COUNTIFS(Responses!$W$7:$W$1006,"&gt;=4",Responses!$D$7:$D$1006,"In the UAE")/COUNTIFS(Responses!$W$7:$W$1006,"&gt;=1",Responses!$D$7:$D$1006,"In the UAE"),"")</f>
        <v/>
      </c>
      <c r="G22" s="23" t="str">
        <f aca="false">IFERROR(COUNTIFS(Responses!$W$7:$W$1006,"&gt;=4",Responses!$D$7:$D$1006,"Outside the UAE")/COUNTIFS(Responses!$W$7:$W$1006,"&gt;=1",Responses!$D$7:$D$1006,"Outside the UAE"),"")</f>
        <v/>
      </c>
      <c r="H22" s="6" t="n">
        <f aca="false">COUNTA(Responses!$W$7:$W$1006)</f>
        <v>0</v>
      </c>
      <c r="I22" s="4" t="str">
        <f aca="false">IF(H22&lt;$B$9,"Need more responses",IF(E22="","No data",IF(E22&gt;=D22,"Supported","Not supported")))</f>
        <v>Need more responses</v>
      </c>
      <c r="J22" s="6" t="s">
        <v>141</v>
      </c>
      <c r="K22" s="4" t="str">
        <f aca="false">IF(OR(E22="",H22&lt;$B$9),"Not enough data yet","Of "&amp;H22&amp;" respondents, "&amp;TEXT(E22,"0%")&amp;" said a 3D walkthrough of the exact unit is important (4 or 5 out of 5).")</f>
        <v>Not enough data yet</v>
      </c>
    </row>
    <row r="23" customFormat="false" ht="15" hidden="false" customHeight="false" outlineLevel="0" collapsed="false">
      <c r="A23" s="6" t="s">
        <v>195</v>
      </c>
      <c r="B23" s="4" t="s">
        <v>392</v>
      </c>
      <c r="C23" s="4" t="s">
        <v>393</v>
      </c>
      <c r="D23" s="22" t="n">
        <v>0.5</v>
      </c>
      <c r="E23" s="23" t="str">
        <f aca="false">IFERROR(COUNTIF(Responses!$AE$7:$AE$1006,"&gt;=4")/COUNT(Responses!$AE$7:$AE$1006),"")</f>
        <v/>
      </c>
      <c r="F23" s="23" t="str">
        <f aca="false">IFERROR(COUNTIFS(Responses!$AE$7:$AE$1006,"&gt;=4",Responses!$D$7:$D$1006,"In the UAE")/COUNTIFS(Responses!$AE$7:$AE$1006,"&gt;=1",Responses!$D$7:$D$1006,"In the UAE"),"")</f>
        <v/>
      </c>
      <c r="G23" s="23" t="str">
        <f aca="false">IFERROR(COUNTIFS(Responses!$AE$7:$AE$1006,"&gt;=4",Responses!$D$7:$D$1006,"Outside the UAE")/COUNTIFS(Responses!$AE$7:$AE$1006,"&gt;=1",Responses!$D$7:$D$1006,"Outside the UAE"),"")</f>
        <v/>
      </c>
      <c r="H23" s="6" t="n">
        <f aca="false">COUNTA(Responses!$AE$7:$AE$1006)</f>
        <v>0</v>
      </c>
      <c r="I23" s="4" t="str">
        <f aca="false">IF(H23&lt;$B$9,"Need more responses",IF(E23="","No data",IF(E23&gt;=D23,"Supported","Not supported")))</f>
        <v>Need more responses</v>
      </c>
      <c r="J23" s="6" t="s">
        <v>196</v>
      </c>
      <c r="K23" s="4" t="str">
        <f aca="false">IF(OR(E23="",H23&lt;$B$9),"Not enough data yet","Of "&amp;H23&amp;" respondents, "&amp;TEXT(E23,"0%")&amp;" said they would likely use a one-stop app (4 or 5 out of 5).")</f>
        <v>Not enough data yet</v>
      </c>
    </row>
    <row r="24" customFormat="false" ht="15" hidden="false" customHeight="false" outlineLevel="0" collapsed="false">
      <c r="A24" s="6" t="s">
        <v>223</v>
      </c>
      <c r="B24" s="4" t="s">
        <v>394</v>
      </c>
      <c r="C24" s="4" t="s">
        <v>395</v>
      </c>
      <c r="D24" s="22" t="n">
        <v>0.4</v>
      </c>
      <c r="E24" s="23" t="str">
        <f aca="false">IFERROR(COUNTIF(Responses!$AI$7:$AI$1006,"&gt;=4")/COUNT(Responses!$AI$7:$AI$1006),"")</f>
        <v/>
      </c>
      <c r="F24" s="23" t="str">
        <f aca="false">IFERROR(COUNTIFS(Responses!$AI$7:$AI$1006,"&gt;=4",Responses!$D$7:$D$1006,"In the UAE")/COUNTIFS(Responses!$AI$7:$AI$1006,"&gt;=1",Responses!$D$7:$D$1006,"In the UAE"),"")</f>
        <v/>
      </c>
      <c r="G24" s="23" t="str">
        <f aca="false">IFERROR(COUNTIFS(Responses!$AI$7:$AI$1006,"&gt;=4",Responses!$D$7:$D$1006,"Outside the UAE")/COUNTIFS(Responses!$AI$7:$AI$1006,"&gt;=1",Responses!$D$7:$D$1006,"Outside the UAE"),"")</f>
        <v/>
      </c>
      <c r="H24" s="6" t="n">
        <f aca="false">COUNTA(Responses!$AI$7:$AI$1006)</f>
        <v>0</v>
      </c>
      <c r="I24" s="4" t="str">
        <f aca="false">IF(H24&lt;$B$9,"Need more responses",IF(E24="","No data",IF(E24&gt;=D24,"Supported","Not supported")))</f>
        <v>Need more responses</v>
      </c>
      <c r="J24" s="6" t="s">
        <v>201</v>
      </c>
      <c r="K24" s="4" t="str">
        <f aca="false">IF(OR(E24="",H24&lt;$B$9),"Not enough data yet","Of "&amp;H24&amp;" respondents, "&amp;TEXT(E24,"0%")&amp;" of UAE residents said they would likely refer a buyer for a fee (4 or 5 out of 5), concept test only.")</f>
        <v>Not enough data yet</v>
      </c>
    </row>
    <row r="25" customFormat="false" ht="15" hidden="false" customHeight="false" outlineLevel="0" collapsed="false">
      <c r="A25" s="6" t="s">
        <v>161</v>
      </c>
      <c r="B25" s="4" t="s">
        <v>396</v>
      </c>
      <c r="C25" s="4" t="s">
        <v>397</v>
      </c>
      <c r="D25" s="22" t="n">
        <v>0.4</v>
      </c>
      <c r="E25" s="23" t="str">
        <f aca="false">IFERROR((COUNTIF(Responses!$Z$7:$Z$1006,"Definitely")+COUNTIF(Responses!$Z$7:$Z$1006,"Probably"))/COUNTA(Responses!$Z$7:$Z$1006),"")</f>
        <v/>
      </c>
      <c r="F25" s="23" t="str">
        <f aca="false">IFERROR((COUNTIFS(Responses!$Z$7:$Z$1006,"Definitely",Responses!$D$7:$D$1006,"In the UAE")+COUNTIFS(Responses!$Z$7:$Z$1006,"Probably",Responses!$D$7:$D$1006,"In the UAE"))/COUNTIFS(Responses!$Z$7:$Z$1006,"&lt;&gt;",Responses!$D$7:$D$1006,"In the UAE"),"")</f>
        <v/>
      </c>
      <c r="G25" s="23" t="str">
        <f aca="false">IFERROR((COUNTIFS(Responses!$Z$7:$Z$1006,"Definitely",Responses!$D$7:$D$1006,"Outside the UAE")+COUNTIFS(Responses!$Z$7:$Z$1006,"Probably",Responses!$D$7:$D$1006,"Outside the UAE"))/COUNTIFS(Responses!$Z$7:$Z$1006,"&lt;&gt;",Responses!$D$7:$D$1006,"Outside the UAE"),"")</f>
        <v/>
      </c>
      <c r="H25" s="6" t="n">
        <f aca="false">COUNTA(Responses!$Z$7:$Z$1006)</f>
        <v>0</v>
      </c>
      <c r="I25" s="4" t="str">
        <f aca="false">IF(H25&lt;$B$9,"Need more responses",IF(E25="","No data",IF(E25&gt;=D25,"Supported","Not supported")))</f>
        <v>Need more responses</v>
      </c>
      <c r="J25" s="6" t="s">
        <v>149</v>
      </c>
      <c r="K25" s="4" t="str">
        <f aca="false">IF(OR(E25="",H25&lt;$B$9),"Not enough data yet","Of "&amp;H25&amp;" respondents, "&amp;TEXT(E25,"0%")&amp;" would definitely or probably buy furniture through the same app.")</f>
        <v>Not enough data yet</v>
      </c>
    </row>
    <row r="26" customFormat="false" ht="15" hidden="false" customHeight="false" outlineLevel="0" collapsed="false">
      <c r="A26" s="6" t="s">
        <v>144</v>
      </c>
      <c r="B26" s="4" t="s">
        <v>398</v>
      </c>
      <c r="C26" s="4" t="s">
        <v>399</v>
      </c>
      <c r="D26" s="22" t="n">
        <v>0.25</v>
      </c>
      <c r="E26" s="23" t="str">
        <f aca="false">IFERROR(COUNTIF(Responses!$U$7:$U$1006,"&lt;=2")/COUNT(Responses!$U$7:$U$1006),"")</f>
        <v/>
      </c>
      <c r="F26" s="23" t="str">
        <f aca="false">IFERROR(COUNTIFS(Responses!$U$7:$U$1006,"&lt;=2",Responses!$D$7:$D$1006,"In the UAE")/COUNTIFS(Responses!$U$7:$U$1006,"&gt;=1",Responses!$D$7:$D$1006,"In the UAE"),"")</f>
        <v/>
      </c>
      <c r="G26" s="23" t="str">
        <f aca="false">IFERROR(COUNTIFS(Responses!$U$7:$U$1006,"&lt;=2",Responses!$D$7:$D$1006,"Outside the UAE")/COUNTIFS(Responses!$U$7:$U$1006,"&gt;=1",Responses!$D$7:$D$1006,"Outside the UAE"),"")</f>
        <v/>
      </c>
      <c r="H26" s="6" t="n">
        <f aca="false">COUNTA(Responses!$U$7:$U$1006)</f>
        <v>0</v>
      </c>
      <c r="I26" s="4" t="str">
        <f aca="false">IF(H26&lt;$B$9,"Need more responses",IF(E26="","No data",IF(E26&gt;=D26,"Supported","Not supported")))</f>
        <v>Need more responses</v>
      </c>
      <c r="J26" s="6" t="s">
        <v>78</v>
      </c>
      <c r="K26" s="4" t="str">
        <f aca="false">IF(OR(E26="",H26&lt;$B$9),"Not enough data yet","Of "&amp;H26&amp;" respondents, "&amp;TEXT(E26,"0%")&amp;" gave low trust (1 or 2 out of 5) to the information on property portals.")</f>
        <v>Not enough data yet</v>
      </c>
    </row>
    <row r="27" customFormat="false" ht="15" hidden="false" customHeight="false" outlineLevel="0" collapsed="false">
      <c r="A27" s="6" t="s">
        <v>119</v>
      </c>
      <c r="B27" s="4" t="s">
        <v>400</v>
      </c>
      <c r="C27" s="4" t="s">
        <v>401</v>
      </c>
      <c r="D27" s="22" t="n">
        <v>0.25</v>
      </c>
      <c r="E27" s="23" t="str">
        <f aca="false">IFERROR(COUNTIF(Responses!$R$7:$R$1006,"&lt;=2")/COUNT(Responses!$R$7:$R$1006),"")</f>
        <v/>
      </c>
      <c r="F27" s="23" t="str">
        <f aca="false">IFERROR(COUNTIFS(Responses!$R$7:$R$1006,"&lt;=2",Responses!$D$7:$D$1006,"In the UAE")/COUNTIFS(Responses!$R$7:$R$1006,"&gt;=1",Responses!$D$7:$D$1006,"In the UAE"),"")</f>
        <v/>
      </c>
      <c r="G27" s="23" t="str">
        <f aca="false">IFERROR(COUNTIFS(Responses!$R$7:$R$1006,"&lt;=2",Responses!$D$7:$D$1006,"Outside the UAE")/COUNTIFS(Responses!$R$7:$R$1006,"&gt;=1",Responses!$D$7:$D$1006,"Outside the UAE"),"")</f>
        <v/>
      </c>
      <c r="H27" s="6" t="n">
        <f aca="false">COUNTA(Responses!$R$7:$R$1006)</f>
        <v>0</v>
      </c>
      <c r="I27" s="4" t="str">
        <f aca="false">IF(H27&lt;$B$9,"Need more responses",IF(E27="","No data",IF(E27&gt;=D27,"Supported","Not supported")))</f>
        <v>Need more responses</v>
      </c>
      <c r="J27" s="6" t="s">
        <v>78</v>
      </c>
      <c r="K27" s="4" t="str">
        <f aca="false">IF(OR(E27="",H27&lt;$B$9),"Not enough data yet","Of "&amp;H27&amp;" respondents, "&amp;TEXT(E27,"0%")&amp;" were not confident the price or rent they agreed was fair (1 or 2 out of 5).")</f>
        <v>Not enough data yet</v>
      </c>
    </row>
    <row r="28" customFormat="false" ht="15" hidden="false" customHeight="false" outlineLevel="0" collapsed="false">
      <c r="A28" s="10" t="s">
        <v>402</v>
      </c>
    </row>
    <row r="29" customFormat="false" ht="15" hidden="false" customHeight="false" outlineLevel="0" collapsed="false">
      <c r="A29" s="8" t="s">
        <v>403</v>
      </c>
      <c r="B29" s="8" t="str">
        <f aca="false">COUNTIF(I14:I27,"Supported")&amp;" of "&amp;COUNTA(A14:A27)&amp;" hypotheses supported"</f>
        <v>0 of 14 hypotheses supported</v>
      </c>
    </row>
    <row r="31" customFormat="false" ht="15" hidden="false" customHeight="false" outlineLevel="0" collapsed="false">
      <c r="A31" s="13" t="s">
        <v>404</v>
      </c>
    </row>
    <row r="32" customFormat="false" ht="31.5" hidden="false" customHeight="true" outlineLevel="0" collapsed="false">
      <c r="A32" s="5" t="s">
        <v>405</v>
      </c>
      <c r="B32" s="5" t="s">
        <v>406</v>
      </c>
      <c r="C32" s="5" t="s">
        <v>407</v>
      </c>
      <c r="D32" s="5" t="s">
        <v>408</v>
      </c>
      <c r="E32" s="5" t="s">
        <v>370</v>
      </c>
    </row>
    <row r="33" customFormat="false" ht="15" hidden="false" customHeight="false" outlineLevel="0" collapsed="false">
      <c r="A33" s="4" t="s">
        <v>409</v>
      </c>
      <c r="B33" s="24" t="str">
        <f aca="false">IFERROR(AVERAGE(Responses!$F$7:$F$1006),"")</f>
        <v/>
      </c>
      <c r="C33" s="23" t="str">
        <f aca="false">IFERROR(COUNTIF(Responses!$F$7:$F$1006,"&gt;=4")/COUNT(Responses!$F$7:$F$1006),"")</f>
        <v/>
      </c>
      <c r="D33" s="6" t="str">
        <f aca="false">IF(C33="","",RANK(C33,$C$33:$C$41))</f>
        <v/>
      </c>
      <c r="E33" s="6" t="n">
        <f aca="false">COUNT(Responses!$F$7:$F$1006)</f>
        <v>0</v>
      </c>
    </row>
    <row r="34" customFormat="false" ht="15" hidden="false" customHeight="false" outlineLevel="0" collapsed="false">
      <c r="A34" s="4" t="s">
        <v>410</v>
      </c>
      <c r="B34" s="24" t="str">
        <f aca="false">IFERROR(AVERAGE(Responses!$G$7:$G$1006),"")</f>
        <v/>
      </c>
      <c r="C34" s="23" t="str">
        <f aca="false">IFERROR(COUNTIF(Responses!$G$7:$G$1006,"&gt;=4")/COUNT(Responses!$G$7:$G$1006),"")</f>
        <v/>
      </c>
      <c r="D34" s="6" t="str">
        <f aca="false">IF(C34="","",RANK(C34,$C$33:$C$41))</f>
        <v/>
      </c>
      <c r="E34" s="6" t="n">
        <f aca="false">COUNT(Responses!$G$7:$G$1006)</f>
        <v>0</v>
      </c>
    </row>
    <row r="35" customFormat="false" ht="15" hidden="false" customHeight="false" outlineLevel="0" collapsed="false">
      <c r="A35" s="4" t="s">
        <v>411</v>
      </c>
      <c r="B35" s="24" t="str">
        <f aca="false">IFERROR(AVERAGE(Responses!$H$7:$H$1006),"")</f>
        <v/>
      </c>
      <c r="C35" s="23" t="str">
        <f aca="false">IFERROR(COUNTIF(Responses!$H$7:$H$1006,"&gt;=4")/COUNT(Responses!$H$7:$H$1006),"")</f>
        <v/>
      </c>
      <c r="D35" s="6" t="str">
        <f aca="false">IF(C35="","",RANK(C35,$C$33:$C$41))</f>
        <v/>
      </c>
      <c r="E35" s="6" t="n">
        <f aca="false">COUNT(Responses!$H$7:$H$1006)</f>
        <v>0</v>
      </c>
    </row>
    <row r="36" customFormat="false" ht="15" hidden="false" customHeight="false" outlineLevel="0" collapsed="false">
      <c r="A36" s="4" t="s">
        <v>412</v>
      </c>
      <c r="B36" s="24" t="str">
        <f aca="false">IFERROR(AVERAGE(Responses!$I$7:$I$1006),"")</f>
        <v/>
      </c>
      <c r="C36" s="23" t="str">
        <f aca="false">IFERROR(COUNTIF(Responses!$I$7:$I$1006,"&gt;=4")/COUNT(Responses!$I$7:$I$1006),"")</f>
        <v/>
      </c>
      <c r="D36" s="6" t="str">
        <f aca="false">IF(C36="","",RANK(C36,$C$33:$C$41))</f>
        <v/>
      </c>
      <c r="E36" s="6" t="n">
        <f aca="false">COUNT(Responses!$I$7:$I$1006)</f>
        <v>0</v>
      </c>
    </row>
    <row r="37" customFormat="false" ht="15" hidden="false" customHeight="false" outlineLevel="0" collapsed="false">
      <c r="A37" s="4" t="s">
        <v>413</v>
      </c>
      <c r="B37" s="24" t="str">
        <f aca="false">IFERROR(AVERAGE(Responses!$J$7:$J$1006),"")</f>
        <v/>
      </c>
      <c r="C37" s="23" t="str">
        <f aca="false">IFERROR(COUNTIF(Responses!$J$7:$J$1006,"&gt;=4")/COUNT(Responses!$J$7:$J$1006),"")</f>
        <v/>
      </c>
      <c r="D37" s="6" t="str">
        <f aca="false">IF(C37="","",RANK(C37,$C$33:$C$41))</f>
        <v/>
      </c>
      <c r="E37" s="6" t="n">
        <f aca="false">COUNT(Responses!$J$7:$J$1006)</f>
        <v>0</v>
      </c>
    </row>
    <row r="38" customFormat="false" ht="15" hidden="false" customHeight="false" outlineLevel="0" collapsed="false">
      <c r="A38" s="4" t="s">
        <v>414</v>
      </c>
      <c r="B38" s="24" t="str">
        <f aca="false">IFERROR(AVERAGE(Responses!$K$7:$K$1006),"")</f>
        <v/>
      </c>
      <c r="C38" s="23" t="str">
        <f aca="false">IFERROR(COUNTIF(Responses!$K$7:$K$1006,"&gt;=4")/COUNT(Responses!$K$7:$K$1006),"")</f>
        <v/>
      </c>
      <c r="D38" s="6" t="str">
        <f aca="false">IF(C38="","",RANK(C38,$C$33:$C$41))</f>
        <v/>
      </c>
      <c r="E38" s="6" t="n">
        <f aca="false">COUNT(Responses!$K$7:$K$1006)</f>
        <v>0</v>
      </c>
    </row>
    <row r="39" customFormat="false" ht="15" hidden="false" customHeight="false" outlineLevel="0" collapsed="false">
      <c r="A39" s="4" t="s">
        <v>415</v>
      </c>
      <c r="B39" s="24" t="str">
        <f aca="false">IFERROR(AVERAGE(Responses!$L$7:$L$1006),"")</f>
        <v/>
      </c>
      <c r="C39" s="23" t="str">
        <f aca="false">IFERROR(COUNTIF(Responses!$L$7:$L$1006,"&gt;=4")/COUNT(Responses!$L$7:$L$1006),"")</f>
        <v/>
      </c>
      <c r="D39" s="6" t="str">
        <f aca="false">IF(C39="","",RANK(C39,$C$33:$C$41))</f>
        <v/>
      </c>
      <c r="E39" s="6" t="n">
        <f aca="false">COUNT(Responses!$L$7:$L$1006)</f>
        <v>0</v>
      </c>
    </row>
    <row r="40" customFormat="false" ht="15" hidden="false" customHeight="false" outlineLevel="0" collapsed="false">
      <c r="A40" s="4" t="s">
        <v>416</v>
      </c>
      <c r="B40" s="24" t="str">
        <f aca="false">IFERROR(AVERAGE(Responses!$M$7:$M$1006),"")</f>
        <v/>
      </c>
      <c r="C40" s="23" t="str">
        <f aca="false">IFERROR(COUNTIF(Responses!$M$7:$M$1006,"&gt;=4")/COUNT(Responses!$M$7:$M$1006),"")</f>
        <v/>
      </c>
      <c r="D40" s="6" t="str">
        <f aca="false">IF(C40="","",RANK(C40,$C$33:$C$41))</f>
        <v/>
      </c>
      <c r="E40" s="6" t="n">
        <f aca="false">COUNT(Responses!$M$7:$M$1006)</f>
        <v>0</v>
      </c>
    </row>
    <row r="41" customFormat="false" ht="15" hidden="false" customHeight="false" outlineLevel="0" collapsed="false">
      <c r="A41" s="4" t="s">
        <v>417</v>
      </c>
      <c r="B41" s="24" t="str">
        <f aca="false">IFERROR(AVERAGE(Responses!$N$7:$N$1006),"")</f>
        <v/>
      </c>
      <c r="C41" s="23" t="str">
        <f aca="false">IFERROR(COUNTIF(Responses!$N$7:$N$1006,"&gt;=4")/COUNT(Responses!$N$7:$N$1006),"")</f>
        <v/>
      </c>
      <c r="D41" s="6" t="str">
        <f aca="false">IF(C41="","",RANK(C41,$C$33:$C$41))</f>
        <v/>
      </c>
      <c r="E41" s="6" t="n">
        <f aca="false">COUNT(Responses!$N$7:$N$1006)</f>
        <v>0</v>
      </c>
    </row>
  </sheetData>
  <conditionalFormatting sqref="I14:I27">
    <cfRule type="cellIs" priority="2" operator="equal" aboveAverage="0" equalAverage="0" bottom="0" percent="0" rank="0" text="" dxfId="5">
      <formula>"Supported"</formula>
    </cfRule>
    <cfRule type="cellIs" priority="3" operator="equal" aboveAverage="0" equalAverage="0" bottom="0" percent="0" rank="0" text="" dxfId="6">
      <formula>"Not supported"</formula>
    </cfRule>
    <cfRule type="cellIs" priority="4" operator="equal" aboveAverage="0" equalAverage="0" bottom="0" percent="0" rank="0" text="" dxfId="7">
      <formula>"Need more responses"</formula>
    </cfRule>
  </conditionalFormatting>
  <conditionalFormatting sqref="C33:C41">
    <cfRule type="colorScale" priority="5">
      <colorScale>
        <cfvo type="num" val="0"/>
        <cfvo type="num" val="1"/>
        <color rgb="FFFFFFFF"/>
        <color rgb="FFF4A261"/>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2026-10-06T18:32:19Z</dcterms:created>
  <dc:creator>openpyxl</dc:creator>
  <dc:description/>
  <dc:language>en-US</dc:language>
  <cp:lastModifiedBy/>
  <dcterms:modified xsi:type="dcterms:W3CDTF">2026-10-06T18:32:19Z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